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renji_jenkins_mail_mcgill_ca/Documents/Jobs and internships/"/>
    </mc:Choice>
  </mc:AlternateContent>
  <xr:revisionPtr revIDLastSave="11" documentId="11_BF5233F75E45B696BC550AE6EFAE9B9ACCEDEC03" xr6:coauthVersionLast="47" xr6:coauthVersionMax="47" xr10:uidLastSave="{B809E14E-8582-490F-BF8E-9CCF6A05DF4B}"/>
  <bookViews>
    <workbookView xWindow="-98" yWindow="-98" windowWidth="21795" windowHeight="13875" activeTab="1" xr2:uid="{00000000-000D-0000-FFFF-FFFF00000000}"/>
  </bookViews>
  <sheets>
    <sheet name="Job applications 2026-2027" sheetId="1" r:id="rId1"/>
    <sheet name="Automated Jobs 2026-2027" sheetId="2" r:id="rId2"/>
    <sheet name="List of compan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H3" i="1"/>
  <c r="E3" i="1"/>
  <c r="F3" i="1"/>
  <c r="G3" i="1"/>
  <c r="J3" i="1"/>
  <c r="D3" i="1" l="1"/>
</calcChain>
</file>

<file path=xl/sharedStrings.xml><?xml version="1.0" encoding="utf-8"?>
<sst xmlns="http://schemas.openxmlformats.org/spreadsheetml/2006/main" count="5163" uniqueCount="1510">
  <si>
    <t>Total jobs:</t>
  </si>
  <si>
    <t>Unavailable:</t>
  </si>
  <si>
    <t>Unapplied yet:</t>
  </si>
  <si>
    <t>Number of app sent:</t>
  </si>
  <si>
    <t>Received offers:</t>
  </si>
  <si>
    <t>Refused:</t>
  </si>
  <si>
    <t>Ghosted (Past Semester)</t>
  </si>
  <si>
    <t>Status</t>
  </si>
  <si>
    <t>Company</t>
  </si>
  <si>
    <t>Job Title</t>
  </si>
  <si>
    <t>Semester</t>
  </si>
  <si>
    <t>Location</t>
  </si>
  <si>
    <t>Date written in Excel</t>
  </si>
  <si>
    <t>Date applied</t>
  </si>
  <si>
    <t>Closing date</t>
  </si>
  <si>
    <t>Job post link</t>
  </si>
  <si>
    <t>Interest in the role</t>
  </si>
  <si>
    <t>Salary</t>
  </si>
  <si>
    <t>Notes</t>
  </si>
  <si>
    <t>Applied</t>
  </si>
  <si>
    <t>McGill University</t>
  </si>
  <si>
    <t>Web governance &amp; UX support assistant, Work Study (Fall 2026)</t>
  </si>
  <si>
    <t>FALL 2026</t>
  </si>
  <si>
    <t>Montreal</t>
  </si>
  <si>
    <t>myFuture</t>
  </si>
  <si>
    <t>High</t>
  </si>
  <si>
    <t>22$/h</t>
  </si>
  <si>
    <t>Internship</t>
  </si>
  <si>
    <t>The Aldo Group.</t>
  </si>
  <si>
    <t>Payroll intern</t>
  </si>
  <si>
    <t>Low</t>
  </si>
  <si>
    <t>20-23$/h</t>
  </si>
  <si>
    <t>Ministère de l'environnement</t>
  </si>
  <si>
    <t>50630-0380-21629 - EMPLOI ÉTUDIANT - Agente ou agent de soutien administratif</t>
  </si>
  <si>
    <t>Emplois disponibles | Emplois en ligne</t>
  </si>
  <si>
    <t>Medium</t>
  </si>
  <si>
    <t>21.65$/h</t>
  </si>
  <si>
    <t>Part-time job</t>
  </si>
  <si>
    <t>Sûreté du Québec</t>
  </si>
  <si>
    <t>50630-0390-22229 - ÉTUDIANT - Une ou un agent(e) de soutien administratif</t>
  </si>
  <si>
    <t>Libre-Service | Emplois en ligne</t>
  </si>
  <si>
    <t>21.64$/h</t>
  </si>
  <si>
    <t>Ernst &amp; Young LLP</t>
  </si>
  <si>
    <t>20839 - 2027 Consulting - Canada - Intern/Co-op</t>
  </si>
  <si>
    <t>SUMMER 2027</t>
  </si>
  <si>
    <t>Multiple cities</t>
  </si>
  <si>
    <t>Unavailable</t>
  </si>
  <si>
    <t>Société de l'assurance automobile du Québec</t>
  </si>
  <si>
    <t>10800-0320-22163 - Emploi étudiant - Conseillère ou conseiller en processus et solutions – Analytique et intelligence artificielle</t>
  </si>
  <si>
    <t>Quebec</t>
  </si>
  <si>
    <t>27.19$/h</t>
  </si>
  <si>
    <t>Unfortunately in Québec city</t>
  </si>
  <si>
    <t>La financière agricole du Québec</t>
  </si>
  <si>
    <t>10400-0520-21904 - EMPLOI ÉTUDIANT – Communication multimédia et conception Web</t>
  </si>
  <si>
    <t>Lévis</t>
  </si>
  <si>
    <t>Caisse de dépôt et placement du Québec</t>
  </si>
  <si>
    <t>20878 - Stagiaire, Cybersécurité (dès janvier 2027)</t>
  </si>
  <si>
    <t>WINTER 2027</t>
  </si>
  <si>
    <t>Tribunal administratif du travail</t>
  </si>
  <si>
    <t>10800-0415-22344 - Emploi étudiant en informatique</t>
  </si>
  <si>
    <t>10800-0415-22328 - Stage en informatique</t>
  </si>
  <si>
    <t>Royal Bank of Canada</t>
  </si>
  <si>
    <t>2027 Winter Student Opportunities Technology &amp; Operations - Cyber Security Analyst, 4-8 Months</t>
  </si>
  <si>
    <t>Toronto</t>
  </si>
  <si>
    <t>https://jobs.rbc.com/ca/en/job/R-0000184797/2027-Winter-Student-Opportunities-Technology-Operations-Cyber-Security-Analyst-4-8-Months</t>
  </si>
  <si>
    <t>DevOps Engineer</t>
  </si>
  <si>
    <t>25$/h</t>
  </si>
  <si>
    <t>Front-End Developer</t>
  </si>
  <si>
    <t>Back-End Developer</t>
  </si>
  <si>
    <t>Intelligence Industrielle</t>
  </si>
  <si>
    <t>21125 - Développeur full-stack</t>
  </si>
  <si>
    <t>Grass Valley</t>
  </si>
  <si>
    <t>21182 - Intern, Software Development</t>
  </si>
  <si>
    <t>https://grassvalley.applytojob.com/apply/r0V942NWEh/Stagiaire-Dveloppement-De-Logiciel-C-Intern-Software-Development-C</t>
  </si>
  <si>
    <t>25-32$/h</t>
  </si>
  <si>
    <t>Internship, external website from MyFuture</t>
  </si>
  <si>
    <t>TrustInfra AI</t>
  </si>
  <si>
    <t>20973 - AI Researcher Intern</t>
  </si>
  <si>
    <t>25-35$/h</t>
  </si>
  <si>
    <t>Not applied</t>
  </si>
  <si>
    <t>Jane Street</t>
  </si>
  <si>
    <t>20587 - Machine Learning Engineer - 2027 Summer Internship</t>
  </si>
  <si>
    <t>New York City</t>
  </si>
  <si>
    <t>20557 - Software Engineer - 2027 Summer Internship</t>
  </si>
  <si>
    <t>20558 - Windows Engineer - 2027 Summer Internship</t>
  </si>
  <si>
    <t>20559 - Network Engineer - 2027 Summer Internship</t>
  </si>
  <si>
    <t>20567 - Data Engineer - 2027 Summer Internship</t>
  </si>
  <si>
    <t>20572 - Hardware Engineer (FPGA/ASIC) - 2027 Summer Internship</t>
  </si>
  <si>
    <t>21026 - Cybersecurity Engineer - Security Operations Center (SOC): 2027 Summer Internship</t>
  </si>
  <si>
    <t xml:space="preserve">Squarepoint </t>
  </si>
  <si>
    <t>20851 - Intern Software Developer - Summer 2027</t>
  </si>
  <si>
    <t>Intern Software Developer - Montreal - 2027 | Open Opportunities</t>
  </si>
  <si>
    <t>Beenox</t>
  </si>
  <si>
    <t>Innovation AI Intern</t>
  </si>
  <si>
    <t>https://careers.beenox.com/us/en/job/R027946/Stagiaire-Innovation-IA-Beenox-Hiver-2027</t>
  </si>
  <si>
    <t>Programmation de moteur intern</t>
  </si>
  <si>
    <t>Stagiaire Programmation de Moteur - Beenox (Hiver 2027) job in Quebec, Quebec, Canada | Programming jobs at Beenox</t>
  </si>
  <si>
    <t>System design intern</t>
  </si>
  <si>
    <t>Stagiaire - Design de système - Beenox (Hiver 2027) job in Quebec, Quebec, Canada | Programming jobs at Beenox</t>
  </si>
  <si>
    <t>Refused</t>
  </si>
  <si>
    <t>Ingenieur d'outil</t>
  </si>
  <si>
    <t>Stagiaire - Ingénieur d'outil - Beenox (Hiver 2027) job in Montreal, Quebec, Canada | Programming jobs at Beenox</t>
  </si>
  <si>
    <t>Intelligence des affaires</t>
  </si>
  <si>
    <t>MontStagiaire - Intelligence des affaires - Beenox (Hiver 2027) job in Montreal, Quebec, Canada | Production &amp; Administration jobs at Beenox</t>
  </si>
  <si>
    <t>Stagiaire en production - Beenox - Hiver 2027</t>
  </si>
  <si>
    <t>Stagiaire en production - Beenox - Hiver 2027 job in Quebec, Quebec, Canada | Production &amp; Administration jobs at Beenox</t>
  </si>
  <si>
    <t>Stagiaire - Programmation en Jouabilité - Beenox (Hiver 2027)</t>
  </si>
  <si>
    <t>Stagiaire - Programmation en Jouabilité - Beenox (Hiver 2027) job in Montreal, Quebec, Canada | Programming jobs at Beenox</t>
  </si>
  <si>
    <t>Stagiaire - Programmation graphique - Beenox (Hiver 2027)</t>
  </si>
  <si>
    <t>Stagiaire - Programmation graphique - Beenox (Hiver 2027) job in Quebec, Quebec, Canada | Programming jobs at Beenox</t>
  </si>
  <si>
    <t>Amazon</t>
  </si>
  <si>
    <t xml:space="preserve">Software developer engineer </t>
  </si>
  <si>
    <t>-</t>
  </si>
  <si>
    <t>Spain</t>
  </si>
  <si>
    <t>https://www.amazon.jobs/en/jobs/10531760/2026-software-dev-engineer-intern-spain</t>
  </si>
  <si>
    <t>Software Dev Engineer Internship - Embedded Development (Linux)</t>
  </si>
  <si>
    <t>Dresden</t>
  </si>
  <si>
    <t>https://www.amazon.jobs/en/jobs/3130528/software-dev-engineer-internship-embedded-development-linux</t>
  </si>
  <si>
    <t>2026 Software Dev Engineer Intern - Germany</t>
  </si>
  <si>
    <t>Berlin</t>
  </si>
  <si>
    <t>https://www.amazon.jobs/en/jobs/3074226/2026-software-dev-engineer-intern-germany</t>
  </si>
  <si>
    <t>2027 Software Dev Engineer Intern</t>
  </si>
  <si>
    <t>Dublin</t>
  </si>
  <si>
    <t>https://www.amazon.jobs/en/jobs/10418355/2027-software-dev-engineer-intern</t>
  </si>
  <si>
    <t>Software Development Engineer Internship, Mexico City</t>
  </si>
  <si>
    <t>Mexico City</t>
  </si>
  <si>
    <t>amazon.jobs/jobs/3123246</t>
  </si>
  <si>
    <t>2026 Software Dev Engineer Intern - UK</t>
  </si>
  <si>
    <t>London</t>
  </si>
  <si>
    <t>https://www.amazon.jobs/en/jobs/3072061/2026-software-dev-engineer-intern-uk</t>
  </si>
  <si>
    <t>Software Development Engineer Intern, AWS Data Services - Fall 2026 (US)</t>
  </si>
  <si>
    <t>Seattle</t>
  </si>
  <si>
    <t>https://www.amazon.jobs/en/jobs/10412530/software-development-engineer-intern-aws-data-services-fall-2026-us</t>
  </si>
  <si>
    <t>Google</t>
  </si>
  <si>
    <t>Software Developer Intern, BS, Summer 2027</t>
  </si>
  <si>
    <t>Waterloo, Ontario</t>
  </si>
  <si>
    <t>https://www.google.com/about/careers/applications/jobs/results/123510626377966278-software-developer-intern-bs-summer-2027?q=intern&amp;hl=en-US&amp;location=Canada&amp;_gl=1*acqq1q*_up*MQ..*_ga*NTUzNDAwNjYxLjE3ODg5MDg3NDU.*_ga_41NEC9ZD62*czE3ODg5MDg3NDUkbzEkZzAkdDE3ODg5MDg3NDUkajYwJGwwJGgw*_ga_KZKKTZQKX5*czE3ODg5MDg3NDUkbzEkZzAkdDE3ODg5MDg3NDUkajYwJGwwJGgw</t>
  </si>
  <si>
    <t>Microsoft</t>
  </si>
  <si>
    <t>Software Engineering Intern - Azure Core</t>
  </si>
  <si>
    <t>Online</t>
  </si>
  <si>
    <t>https://apply.careers.microsoft.com/careers?query=Intern&amp;start=0&amp;pid=1970393556971803&amp;sort_by=relevance</t>
  </si>
  <si>
    <t>Software Engineering Intern - Clipchamp</t>
  </si>
  <si>
    <t>Sydney</t>
  </si>
  <si>
    <t>https://apply.careers.microsoft.com/careers?query=Intern&amp;start=0&amp;pid=1970393556978345&amp;sort_by=relevance</t>
  </si>
  <si>
    <t>Autodesk</t>
  </si>
  <si>
    <t>Software Engineering Intern Summer 2027</t>
  </si>
  <si>
    <t>Oslo</t>
  </si>
  <si>
    <t>https://autodesk.wd1.myworkdayjobs.com/en-US/Ext/details/Software-Engineering-Intern-Summer-2027_26WD100046?q=Intern</t>
  </si>
  <si>
    <t>Stagiaire en Développement Cloud, Intern Cloud Developer – FCAP</t>
  </si>
  <si>
    <t>https://autodesk.wd1.myworkdayjobs.com/en-US/Ext/details/Stagiaire-en-Dveloppement-Cloud--Intern-Cloud-Developer---FCAP_26WD100406-2?q=Intern</t>
  </si>
  <si>
    <t>Stagiaire en Développement Cloud, Intern Cloud Developer</t>
  </si>
  <si>
    <t>https://autodesk.wd1.myworkdayjobs.com/en-US/Ext/details/Stagiaire-en-Dveloppement-Cloud--Intern-Cloud-Developer_26WD100400?q=Intern</t>
  </si>
  <si>
    <t>Intern Software Developer, Stagiaire en Développement Logiciel</t>
  </si>
  <si>
    <t>https://autodesk.wd1.myworkdayjobs.com/en-US/Ext/details/Intern-Software-Developer--Stagiaire-en-Dveloppement-Logiciel_26WD100398-2?q=Intern</t>
  </si>
  <si>
    <t>Intern, AI Developer/ Stagiaire en développement IA</t>
  </si>
  <si>
    <t>https://autodesk.wd1.myworkdayjobs.com/en-US/Ext/details/Intern--AI-Developer--Stagiaire-en-dveloppement-IA_26WD100523-2?q=Intern</t>
  </si>
  <si>
    <t>2027 Winter Student Opportunities Technology &amp; Operations - Quality Engineering &amp; Automation, 4-12 Months</t>
  </si>
  <si>
    <t>https://jobs.rbc.com/ca/en/job/R-0000184801/2027-Winter-Student-Opportunities-Technology-Operations-Quality-Engineering-Automation-4-12-Months</t>
  </si>
  <si>
    <t>2027 Winter Student Opportunities Technology &amp; Operations - Software Developer, 12 Months</t>
  </si>
  <si>
    <t>https://jobs.rbc.com/ca/en/job/R-0000184491/2027-Winter-Student-Opportunities-Technology-Operations-Software-Developer-%C2%A012-Months</t>
  </si>
  <si>
    <t>Mirego</t>
  </si>
  <si>
    <t>Stagiaire en développement logiciel - Équipe d’intelligence artificielle générative - janvier 2027</t>
  </si>
  <si>
    <t>Stagiaire en développement logiciel - Équipe d’intelligence artificielle générative - janvier 2027 | Mirego | LinkedIn</t>
  </si>
  <si>
    <t>Stagiaire en développement logiciel - janvier 2027</t>
  </si>
  <si>
    <t>Stagiaire en développement logiciel - janvier 2027 | Mirego | LinkedIn</t>
  </si>
  <si>
    <t>KPMG</t>
  </si>
  <si>
    <t xml:space="preserve">QC - Stagiaire Développeur Frontend (Angular) </t>
  </si>
  <si>
    <t>QC - Stagiaire Développeur Frontend (Angular) | KPMG Canada | LinkedIn</t>
  </si>
  <si>
    <t>Desjardins</t>
  </si>
  <si>
    <t>Stage, Secteur TI, Hiver 2027-FR</t>
  </si>
  <si>
    <t>Stage, Secteur TI, Hiver 2027-FR | Desjardins | LinkedIn</t>
  </si>
  <si>
    <t>PMP SOLUTIONS</t>
  </si>
  <si>
    <t>PROGRAMMING SOFTWARE INTERN</t>
  </si>
  <si>
    <t>PROGRAMMING SOFTWARE INTERN | PMP SOLUTIONS | LinkedIn</t>
  </si>
  <si>
    <t>Kinaxis</t>
  </si>
  <si>
    <t xml:space="preserve">Co-op/Intern Developer, Machine Learning </t>
  </si>
  <si>
    <t>Co-op/Intern Developer, Machine Learning | Kinaxis | LinkedIn</t>
  </si>
  <si>
    <t>Co-op/ Intern Site Reliability Engineer</t>
  </si>
  <si>
    <t>Co-op/ Intern Site Reliability Engineer | Kinaxis | LinkedIn</t>
  </si>
  <si>
    <t>Flare</t>
  </si>
  <si>
    <t>Stagiaire en développement logiciel / Intern Software Developer</t>
  </si>
  <si>
    <t>Montréal-Ouest</t>
  </si>
  <si>
    <t>Stagiaire en développement logiciel / Intern Software Developer | Flare | LinkedIn</t>
  </si>
  <si>
    <t>Intelcom | Dragonfly</t>
  </si>
  <si>
    <t xml:space="preserve">Software Development Intern - Address Intelligence Platform </t>
  </si>
  <si>
    <t>Software Development Intern - Address Intelligence Platform | Intelcom | Dragonfly | LinkedIn</t>
  </si>
  <si>
    <t>KPMG Canada</t>
  </si>
  <si>
    <t>QC - Stagiaire Développeur Frontend (Angular)</t>
  </si>
  <si>
    <t>Boisbriand</t>
  </si>
  <si>
    <t>EXFO</t>
  </si>
  <si>
    <t xml:space="preserve">Stagiaire ingénieur logiciel / Software Engineer Intern </t>
  </si>
  <si>
    <t>Stagiaire ingénieur logiciel / Software Engineer Intern | EXFO | LinkedIn</t>
  </si>
  <si>
    <t xml:space="preserve">Stagiaire, développement de logiciel | Intern, Software Development </t>
  </si>
  <si>
    <t>Stagiaire, développement de logiciel | Intern, Software Development | Grass Valley | LinkedIn</t>
  </si>
  <si>
    <t>Internship: 2nd Link https://grassvalley.applytojob.com/apply/8vAlbSBZpB/Stagiaire-Dveloppement-De-Logiciel-Intern-Software-Development</t>
  </si>
  <si>
    <t>Intact</t>
  </si>
  <si>
    <t xml:space="preserve">Développeur logiciel I - 4 mois Coop/Stagiaire (Hiver 2027) </t>
  </si>
  <si>
    <t>Développeur logiciel I - 4 mois Coop/Stagiaire (Hiver 2027) | Intact | LinkedIn</t>
  </si>
  <si>
    <t>Ericsson</t>
  </si>
  <si>
    <t xml:space="preserve">Stagiaire Développeur Full Stack </t>
  </si>
  <si>
    <t>Stagiaire Développeur Full Stack | Ericsson | LinkedIn</t>
  </si>
  <si>
    <t>Compass Data &amp; AI</t>
  </si>
  <si>
    <t>New Graduate / Internship Applications</t>
  </si>
  <si>
    <t>New Graduate / Internship Applications | Compass Data &amp; AI | LinkedIn</t>
  </si>
  <si>
    <t>SAP</t>
  </si>
  <si>
    <t xml:space="preserve">SAP iXp Intern - Développeur Java, développement Cloud </t>
  </si>
  <si>
    <t>SAP iXp Intern - Développeur Java, développement Cloud | SAP | LinkedIn</t>
  </si>
  <si>
    <t>Flexspring</t>
  </si>
  <si>
    <t xml:space="preserve">Full Stack Developer co-op </t>
  </si>
  <si>
    <t>Full Stack Developer co-op | Flexspring | LinkedIn</t>
  </si>
  <si>
    <t>CAE</t>
  </si>
  <si>
    <t xml:space="preserve">C-FIN-275 Stagiaire en génie logiciel, IA, automatisation et intelligence d’affaires </t>
  </si>
  <si>
    <t>C-FIN-275 Stagiaire en génie logiciel, IA, automatisation et intelligence d’affaires | CAE | LinkedIn</t>
  </si>
  <si>
    <t>GIRO</t>
  </si>
  <si>
    <t xml:space="preserve">Hiver 2027 - Stagiaire en développement web, Front-end </t>
  </si>
  <si>
    <t>Hiver 2027 - Stagiaire en développement web, Front-end | GIRO | LinkedIn</t>
  </si>
  <si>
    <t>IBM</t>
  </si>
  <si>
    <t>Machine Learning Developer Intern / Stagiaire développeur en apprentissage automatique</t>
  </si>
  <si>
    <t>Machine Learning Developer Intern / Stagiaire développeur en apprentissage automatique | IBM | LinkedIn</t>
  </si>
  <si>
    <t>Bell Flight</t>
  </si>
  <si>
    <t xml:space="preserve">Stage automne 2026 - Technologie de l'information / 2026 fall Internship - Information Technology (Mirabel, QC) </t>
  </si>
  <si>
    <t>Mirabel, Quebec</t>
  </si>
  <si>
    <t>Stage automne 2026 - Technologie de l'information / 2026 fall Internship - Information Technology (Mirabel, QC) | Bell Flight | LinkedIn</t>
  </si>
  <si>
    <t xml:space="preserve">Developer DevOPS - 4 months Co-op Internship </t>
  </si>
  <si>
    <t>Developer DevOPS - 4 months Co-op Internship | Intact | LinkedIn</t>
  </si>
  <si>
    <t xml:space="preserve">Développeur tests automatisés – 4 mois Stage/Co-op (Hiver 2027) </t>
  </si>
  <si>
    <t>Développeur tests automatisés – 4 mois Stage/Co-op (Hiver 2027) | Intact | LinkedIn</t>
  </si>
  <si>
    <t>Pratt &amp; Whitney</t>
  </si>
  <si>
    <t xml:space="preserve">Stage - Hiver 2027 - Développement Logiciel Avancé, Méthodes Numériques / Internship - Winter 2027 - Advanced Software Development, Numerical Methods </t>
  </si>
  <si>
    <t>Longueuil</t>
  </si>
  <si>
    <t>Stage - Hiver 2027 - Développement Logiciel Avancé, Méthodes Numériques / Internship - Winter 2027 - Advanced Software Development, Numerical Methods | Pratt &amp; Whitney | LinkedIn</t>
  </si>
  <si>
    <t>QA Automation Engineer co-op</t>
  </si>
  <si>
    <t>QA Automation Engineer co-op | Flexspring | LinkedIn</t>
  </si>
  <si>
    <t>HME</t>
  </si>
  <si>
    <t xml:space="preserve">CA Development Intern </t>
  </si>
  <si>
    <t>Saint-Bruno-de-Montarville</t>
  </si>
  <si>
    <t>CA Development Intern | HME | LinkedIn</t>
  </si>
  <si>
    <t>Huawei Canada</t>
  </si>
  <si>
    <t>Co-op Researcher - Embodied AI Agent (Robotic)</t>
  </si>
  <si>
    <t>Co-op Researcher - Embodied AI Agent (Robotic) | Huawei Canada | LinkedIn</t>
  </si>
  <si>
    <t>Co-op Researcher - LLMs Reasoning</t>
  </si>
  <si>
    <t>Co-op Researcher - LLMs Reasoning | Huawei Canada | LinkedIn</t>
  </si>
  <si>
    <t>DRW</t>
  </si>
  <si>
    <t xml:space="preserve">Software Developer Intern </t>
  </si>
  <si>
    <t>Software Developer Intern | DRW | LinkedIn</t>
  </si>
  <si>
    <t>AlayaCare</t>
  </si>
  <si>
    <t xml:space="preserve">Junior Fullstack Developer (Python) </t>
  </si>
  <si>
    <t>Junior Fullstack Developer (Python) | AlayaCare | LinkedIn</t>
  </si>
  <si>
    <t>Software Developer, Early Career, Campus</t>
  </si>
  <si>
    <t>Software Developer, Early Career, Campus | Google | LinkedIn</t>
  </si>
  <si>
    <t>Yelp</t>
  </si>
  <si>
    <t>Entry Level Data Backend Engineer - Trust &amp; Safety (Remote - Canada)</t>
  </si>
  <si>
    <t>Entry Level Data Backend Engineer - Trust &amp; Safety (Remote - Canada) | Yelp | LinkedIn</t>
  </si>
  <si>
    <t>Deloitte</t>
  </si>
  <si>
    <t>Analyste stagiaire, Technologie Deloitte Canada - Hiver 2027 (4-8 mois) - Emplacements multiples</t>
  </si>
  <si>
    <t>Analyste stagiaire, Technologie Deloitte Canada - Hiver 2027 (4-8 mois) - Emplacements multiples | Deloitte | LinkedIn</t>
  </si>
  <si>
    <t>Zed Digital</t>
  </si>
  <si>
    <t>iOS/ANDROID APPLICATION DEVELOPER</t>
  </si>
  <si>
    <t>iOS/ANDROID APPLICATION DEVELOPER | Zed Digital | LinkedIn</t>
  </si>
  <si>
    <t>Winter 2027 - Front-End Web Development Intern</t>
  </si>
  <si>
    <t>Search for Jobs</t>
  </si>
  <si>
    <t>Winter 2027 - Software Development Intern (Algorithms and Operations Research)</t>
  </si>
  <si>
    <t>Winter 2027 - Software Development Intern</t>
  </si>
  <si>
    <t>BambooHR</t>
  </si>
  <si>
    <t>Nokia</t>
  </si>
  <si>
    <t>IP Routing App Engineer Co-op/Intern</t>
  </si>
  <si>
    <t>Ottawa</t>
  </si>
  <si>
    <t>https://jobs.nokia.com/en/sites/CX_1/job/39165/?utm_medium=jobshare&amp;utm_source=External+Job+Share</t>
  </si>
  <si>
    <t>Optical Test Coop/Intern</t>
  </si>
  <si>
    <t>https://jobs.nokia.com/en/sites/CX_1/job/40113/?utm_medium=jobshare&amp;utm_source=External+Job+Share</t>
  </si>
  <si>
    <t>Optical Test Automation Co-op/Intern</t>
  </si>
  <si>
    <t>https://jobs.nokia.com/en/sites/CX_1/job/40117/?utm_medium=jobshare&amp;utm_source=External+Job+Share</t>
  </si>
  <si>
    <t>DSP Firmware Engineering Co-op/Intern</t>
  </si>
  <si>
    <t>https://jobs.nokia.com/en/sites/CX_1/job/39237/?utm_medium=jobshare&amp;utm_source=External+Job+Share</t>
  </si>
  <si>
    <t>Embedded C/C++ Software Dev Student</t>
  </si>
  <si>
    <t>https://jobs.nokia.com/en/sites/CX_1/job/39310/?utm_medium=jobshare&amp;utm_source=External+Job+Share</t>
  </si>
  <si>
    <t>Test Automation Designer Coop/Intern</t>
  </si>
  <si>
    <t>https://jobs.nokia.com/en/sites/CX_1/job/39338/?utm_medium=jobshare&amp;utm_source=External+Job+Share</t>
  </si>
  <si>
    <t>Tools and Automation SW Dev Co-op/Intern</t>
  </si>
  <si>
    <t>https://jobs.nokia.com/en/sites/CX_1/job/39341/?utm_medium=jobshare&amp;utm_source=External+Job+Share</t>
  </si>
  <si>
    <t>Software Tester – Co-op/Intern</t>
  </si>
  <si>
    <t>https://jobs.nokia.com/en/sites/CX_1/job/39342/?utm_medium=jobshare&amp;utm_source=External+Job+Share</t>
  </si>
  <si>
    <t>Test Automation Co-op/Intern</t>
  </si>
  <si>
    <t>https://jobs.nokia.com/en/sites/CX_1/job/39345/?utm_medium=jobshare&amp;utm_source=External+Job+Share</t>
  </si>
  <si>
    <t>Technical Project Manager Co-op/Intern</t>
  </si>
  <si>
    <t>https://jobs.nokia.com/en/sites/CX_1/job/39347/?utm_medium=jobshare&amp;utm_source=External+Job+Share</t>
  </si>
  <si>
    <t>https://jobs.nokia.com/en/sites/CX_1/job/39346/?utm_medium=jobshare&amp;utm_source=External+Job+Share</t>
  </si>
  <si>
    <t>Software Applications Co-op/Intern</t>
  </si>
  <si>
    <t>https://jobs.nokia.com/en/sites/CX_1/job/39432/?utm_medium=jobshare&amp;utm_source=External+Job+Share</t>
  </si>
  <si>
    <t>Software Developer Co-op/Intern</t>
  </si>
  <si>
    <t>https://jobs.nokia.com/en/sites/CX_1/job/39435/?utm_medium=jobshare&amp;utm_source=External+Job+Share</t>
  </si>
  <si>
    <t>Software Test Infra Student</t>
  </si>
  <si>
    <t>https://jobs.nokia.com/en/sites/CX_1/job/39483/?utm_medium=jobshare&amp;utm_source=External+Job+Share</t>
  </si>
  <si>
    <t>Huwiz</t>
  </si>
  <si>
    <t>Career form</t>
  </si>
  <si>
    <t>Saint-Jérôme</t>
  </si>
  <si>
    <t>Careers | Jobs in assurance quality | HUWIZ</t>
  </si>
  <si>
    <t>Internship and part-time</t>
  </si>
  <si>
    <t>Epic Games</t>
  </si>
  <si>
    <t>Backend Services Programmer Intern (R27435)</t>
  </si>
  <si>
    <t>Cary, North Carolina</t>
  </si>
  <si>
    <t>Backend Services Programmer Intern (R27435) - Careers at Epic Games</t>
  </si>
  <si>
    <t>Engine Programmer Intern (R27411)</t>
  </si>
  <si>
    <t>Engine Programmer Intern (R27411) - Careers at Epic Games</t>
  </si>
  <si>
    <t>Frontend Programmer Intern (R27429)</t>
  </si>
  <si>
    <t>Frontend Programmer Intern (R27429) - Careers at Epic Games</t>
  </si>
  <si>
    <t>Gameplay Programmer Intern (R27398)</t>
  </si>
  <si>
    <t>Gameplay Programmer Intern (R27398) - Careers at Epic Games</t>
  </si>
  <si>
    <t>Gameplay Programmer Intern (R27420)</t>
  </si>
  <si>
    <t>Gameplay Programmer Intern (R27420) - Careers at Epic Games</t>
  </si>
  <si>
    <t>Machine Learning Intern (R27116)</t>
  </si>
  <si>
    <t>Machine Learning Intern (R27116) - Careers at Epic Games</t>
  </si>
  <si>
    <t>Stagiaire en apprentissage automatique (R27116)</t>
  </si>
  <si>
    <t>Stagiaire en apprentissage automatique (R27116) - Careers at Epic Games</t>
  </si>
  <si>
    <t>Tools Programmer Intern (R27410)</t>
  </si>
  <si>
    <t>Tools Programmer Intern (R27410) - Careers at Epic Games</t>
  </si>
  <si>
    <t>UI Programmer Intern (R27436)</t>
  </si>
  <si>
    <t>UI Programmer Intern (R27436) - Careers at Epic Games</t>
  </si>
  <si>
    <t>Web Engineer Intern (R27423)</t>
  </si>
  <si>
    <t>Novi Sad</t>
  </si>
  <si>
    <t>Web Engineer Intern (R27423) - Careers at Epic Games</t>
  </si>
  <si>
    <t>Morgan Stanley</t>
  </si>
  <si>
    <t>2027 Technology Summer Analyst Program (Calgary)</t>
  </si>
  <si>
    <t>Calgary</t>
  </si>
  <si>
    <t>2027 Technology Summer Analyst Program (Calgary) - Morgan Stanley Campus</t>
  </si>
  <si>
    <t>2027 Programme d'été en Technologie (Montréal) / 2027 Summer Technology Analyst Program (Montreal)</t>
  </si>
  <si>
    <t>2027 Programme d'été en Technologie (Montréal) / 2027 Summer Technology Analyst Program (Montreal) - Morgan Stanley Campus</t>
  </si>
  <si>
    <t>Programme d’analyste en technologie à temps plein de 2027 (Montréal) / 2027 Full-time Technology Analyst Program (Montreal)</t>
  </si>
  <si>
    <t>Programme d’analyste en technologie à temps plein de 2027 (Montréal) / 2027 Full-time Technology Analyst Program (Montreal) - Morgan Stanley Campus</t>
  </si>
  <si>
    <t>2027 Programme CEGEP d'été en Technologie (Montréal) / 2027 Technology College Summer Internship (Montreal)</t>
  </si>
  <si>
    <t>2027 Programme CEGEP d'été en Technologie (Montréal) / 2027 Technology College Summer Internship (Montreal) - Morgan Stanley Campus</t>
  </si>
  <si>
    <t>Agentic AI Engineer Developer Intern (January 2027 - 4 Months - Toronto)</t>
  </si>
  <si>
    <t>Agentic AI Engineer Developer Intern (January 2027 - 4 Months - Toronto) - 130076 - IBM</t>
  </si>
  <si>
    <t>Microsoft 365 Copilot Studio Consultant Intern (January 2027 - 4 Months - Toronto)</t>
  </si>
  <si>
    <t>uI Programmer Intern (R27436) - Careers at Epic Games</t>
  </si>
  <si>
    <t>Stagiaire analyste d’affaires en IA et automatisation / AI &amp; Automation Business Analyst Intern</t>
  </si>
  <si>
    <t>Stagiaire analyste d’affaires en IA et automatisation / AI &amp; Automation Business Analyst Intern - 130141 - IBM</t>
  </si>
  <si>
    <t>AI Foundations - Software Engineer - Research Internship 2027 - 131307 - IBM</t>
  </si>
  <si>
    <t>Application Developer Intern - Full Stack / Cloud / Modern Engineering (January 2027 - 4 Months - Toronto) - 130144 - IBM</t>
  </si>
  <si>
    <t>Software Developer Spring Co-op 2027 - 128506 - IBM</t>
  </si>
  <si>
    <t>SPRING 2027</t>
  </si>
  <si>
    <t>Austin, Texas</t>
  </si>
  <si>
    <t>Software Developer Spring Co-op 2027 - 129787 - IBM</t>
  </si>
  <si>
    <t>Software Developer Intern 2027 - 128497 - IBM</t>
  </si>
  <si>
    <t>San Jose, California</t>
  </si>
  <si>
    <t>Software Developer Intern 2027 - 129661 - IBM</t>
  </si>
  <si>
    <t>Markham, Ontario</t>
  </si>
  <si>
    <t>Site Reliability Engineer Intern 2027 - 128513 - IBM</t>
  </si>
  <si>
    <t>Data and AI Intern 2027 - 129910 - IBM</t>
  </si>
  <si>
    <t>Armonk, New York</t>
  </si>
  <si>
    <t>Software Developer Intern 2027 - 129778 - IBM</t>
  </si>
  <si>
    <t>Poughkeepsie, New York</t>
  </si>
  <si>
    <t>Software Developer Intern-Different Locations - 130346 - IBM</t>
  </si>
  <si>
    <t>Silicon Technology Research and Development Software Engineering Intern - 2027 - 132407 - IBM</t>
  </si>
  <si>
    <t>Yorktown Heights, New York</t>
  </si>
  <si>
    <t>Intern Developer – Adobe 2027 - 128716 - IBM</t>
  </si>
  <si>
    <t>Back End Developer Intern 2027 - Tucson - 129783 - IBM</t>
  </si>
  <si>
    <t>Tucson, Arizona</t>
  </si>
  <si>
    <t>Federal Developer Intern, Software Engineering (January 2027 - 4 Months - Ottawa) - 130115 - IBM</t>
  </si>
  <si>
    <t>Intern Software Engineer / Agent Engineer - EDA - Poughkeepsie 2027 - 130716 - IBM</t>
  </si>
  <si>
    <t>Salesforce &amp; GTM Developer Intern (January 2027 - 4 Months - Toronto) - 130067 - IBM</t>
  </si>
  <si>
    <t>Co-Op Data Engineer - Data Services 2027 - 128562 - IBM</t>
  </si>
  <si>
    <t>University Park</t>
  </si>
  <si>
    <t>Data Services Developer Intern (January 2027 - 4 Months - Toronto) - 130142 - IBM</t>
  </si>
  <si>
    <t>Software Developer Intern-Poughkeepsie, NY - 130113 - IBM</t>
  </si>
  <si>
    <t>Intern Data Engineer - Data Services - 2027 - 128827 - IBM</t>
  </si>
  <si>
    <t>Buffalo, New York</t>
  </si>
  <si>
    <t>Intern Application Developer 2027 – DPE - 128772 - IBM</t>
  </si>
  <si>
    <t>SW Developer Intern- Austin TX 2027 - 131828 - IBM</t>
  </si>
  <si>
    <t>Intern Data Engineers - AI &amp; Analytics - 2027 - 129637 - IBM</t>
  </si>
  <si>
    <t>Intern Application Developer 2027 - ServiceNow - 131081 - IBM</t>
  </si>
  <si>
    <t>Baton Rouge, Louisiana</t>
  </si>
  <si>
    <t>Intern Application Developer – Oracle - 2027 - 128790 - IBM</t>
  </si>
  <si>
    <t>Intern Application Developer – Salesforce - 2027 - 128922 - IBM</t>
  </si>
  <si>
    <t>Intern Data Specialist 2027 - AI &amp; Analytics - 128792 - IBM</t>
  </si>
  <si>
    <t>Lansing, Michigan</t>
  </si>
  <si>
    <t>Intern Data Engineer - AI &amp; Analytics - 2027 - 129628 - IBM</t>
  </si>
  <si>
    <t>Monroe, Louisiana</t>
  </si>
  <si>
    <t>Back End Developer Intern 2027 - Poughkeepsie - 129781 - IBM</t>
  </si>
  <si>
    <t>Intern Application Developer – Adobe - 2027 - 128797 - IBM</t>
  </si>
  <si>
    <t>Intern Data Engineer - Data Services - 2027 - 128824 - IBM</t>
  </si>
  <si>
    <t>Intern Data Scientist 2027 – AI &amp; Data Analytics - 128620 - IBM</t>
  </si>
  <si>
    <t>Intern Data Engineer - Data Services - 2027 - 128823 - IBM</t>
  </si>
  <si>
    <t>QA/Test Engineer Intern-Poughkeepsie, NY - 130043 - IBM</t>
  </si>
  <si>
    <t>Intern Data Engineers - AI &amp; Analytics - 2027 - 128818 - IBM</t>
  </si>
  <si>
    <t>Consultant Intern 2027 – Enterprise Application Integration (EAI) - 128709 - IBM</t>
  </si>
  <si>
    <t>Chicago</t>
  </si>
  <si>
    <t>Intern Developer – Adobe 2027 - 128779 - IBM</t>
  </si>
  <si>
    <t>Intern Cybersecurity Specialist – 2027 - 128807 - IBM</t>
  </si>
  <si>
    <t>Software Developer Intern-Austin-TX - 130116 - IBM</t>
  </si>
  <si>
    <t>Intern Application Consultant 2027 – DPE - 128742 - IBM</t>
  </si>
  <si>
    <t>Dallas</t>
  </si>
  <si>
    <t>Federal Developer Intern 2027 - 127714 - IBM</t>
  </si>
  <si>
    <t>Herndon, Virginia</t>
  </si>
  <si>
    <t>Consultant Intern – SAP 2027 - 128775 - IBM</t>
  </si>
  <si>
    <t>Washington, D.C.</t>
  </si>
  <si>
    <t>Intern Application Consultant – Microsoft 2027 - 128527 - IBM</t>
  </si>
  <si>
    <t>Software Developer Intern-Rochester, MN - 130103 - IBM</t>
  </si>
  <si>
    <t>Rochester, New York</t>
  </si>
  <si>
    <t>Intern Application Developer 2027 – DPE - 128825 - IBM</t>
  </si>
  <si>
    <t>Intern Application Developer AWS - 2027 - 128810 - IBM</t>
  </si>
  <si>
    <t>Intern Application Developer - Oracle - 2027 - 128815 - IBM</t>
  </si>
  <si>
    <t>SW Developer Intern- Austin TX 2027</t>
  </si>
  <si>
    <t>careers.ibm.com/fr_CA/careers/JobDetail?jobId=131828&amp;source=WEB_Search_NA</t>
  </si>
  <si>
    <t>Federal Package Consulting Intern - Oracle 2027 - 127717 - IBM</t>
  </si>
  <si>
    <t>Intern Application Consultant 2027 – IBM Tech - 128748 - IBM</t>
  </si>
  <si>
    <t>Xsolla</t>
  </si>
  <si>
    <t>AI-First Engineering Intern</t>
  </si>
  <si>
    <t>Los Angeles</t>
  </si>
  <si>
    <t>Xsolla - AI-First Engineering Intern</t>
  </si>
  <si>
    <t>Android Developer– 4 months Internship/Coop (Winter 2027)  </t>
  </si>
  <si>
    <t>Software Developer I - 4 months internship/ Co-op (Winter 2027)</t>
  </si>
  <si>
    <t>Saint John, New Brunswick</t>
  </si>
  <si>
    <t>BlueRobotics</t>
  </si>
  <si>
    <t>Electronics Design Co-op (Jan 2027)</t>
  </si>
  <si>
    <t>Victoria, British Columbia</t>
  </si>
  <si>
    <t>Genetec</t>
  </si>
  <si>
    <t>Genetec Inc. - Software Developer (Job ID: 21774).</t>
  </si>
  <si>
    <t>MyFuture</t>
  </si>
  <si>
    <t>FGF</t>
  </si>
  <si>
    <t>Product Support Analyst, AI Automation Co-op (Winter 2027) in Greater Toronto Area, Ontario | Careers at CA-ON-Greater Toronto Area</t>
  </si>
  <si>
    <t>IT Technician Co-Op (Winter 2027) in Greater Toronto Area, Ontario | Careers at CA-ON-Greater Toronto Area</t>
  </si>
  <si>
    <t>Data Engineer Analytics and BI Co-op (Winter 2027) in Greater Toronto Area, Ontario | Careers at CA-ON-Greater Toronto Area</t>
  </si>
  <si>
    <t>Careers - FGF Brands</t>
  </si>
  <si>
    <t>Data Pipeline Engineering Co-op (Winter 2027) in Woodbridge, Ontario | Careers at CA-ON-Woodbridge</t>
  </si>
  <si>
    <t>Woodbridge, Ontario</t>
  </si>
  <si>
    <t>McGill myFuture - My Account - Jobs, Internships &amp; Volunteering - Internship / Co-op - Job Postings</t>
  </si>
  <si>
    <t>North York</t>
  </si>
  <si>
    <t>Transports Canada</t>
  </si>
  <si>
    <t>Transports Canada - Engineering Co-op Student (Job ID: 22859).</t>
  </si>
  <si>
    <t>Hydro Québec</t>
  </si>
  <si>
    <t>22880 - Stage universitaire | Analyse de données - Hiver 2027(188411)</t>
  </si>
  <si>
    <t>Stages et programmes | Hydro-Québec</t>
  </si>
  <si>
    <t>22924 - Stage universitaire | Génie Automatisation - Hiver 2027(188632)</t>
  </si>
  <si>
    <t>22927 - Stage universitaire | Informatique - Hiver 2027(188648)</t>
  </si>
  <si>
    <t>22928 - Stage universitaire | Informatique de gestion - Hiver 2027(188651)</t>
  </si>
  <si>
    <t>22929 - Stage universitaire | Recherche et développement - Hiver 2027(188652)</t>
  </si>
  <si>
    <t>22932 - Stage universitaire | Technologies numériques - Gestion de projets - Hiver 2027(188916)</t>
  </si>
  <si>
    <t>22935 - Stage universitaire | Technologies numériques - Développement - Hiver 2027(189043)</t>
  </si>
  <si>
    <t>DPWorld</t>
  </si>
  <si>
    <t>DP World Canada Inc. - Engineering Co-op Student (Job ID: 22946).</t>
  </si>
  <si>
    <t>BCI</t>
  </si>
  <si>
    <t>AI and Automation Engineer Co-op/Internship (Winter &amp; Summer 2027)</t>
  </si>
  <si>
    <t>DevSecOps Engineer Co-op/Internship (Winter 2027 &amp; Summer 2027)</t>
  </si>
  <si>
    <t>Software Engineer Co-op/Internship (Winter 2027)</t>
  </si>
  <si>
    <t>Platform Engineer ServiceNow Co-op/Internship (Winter 2027 &amp; Summer 2027)</t>
  </si>
  <si>
    <t>General Dynamics Mission Systems-Canada - Headquarters</t>
  </si>
  <si>
    <t>22951 - Co-op Winter 2027 - Systems Engineering - 4-8-Months</t>
  </si>
  <si>
    <t>https://easyapply.jobs/r/sJDW36s27djOws2jH2xV</t>
  </si>
  <si>
    <t>22952 - Co-op Winter 2027 DevOps Engineering - 8-16 Months</t>
  </si>
  <si>
    <t>https://easyapply.jobs/r/aJEcDla27enB4a1ogt5S</t>
  </si>
  <si>
    <t>Easy apply - Co-op Winter 2027 – System of Systems Integration, Verification and Validation – 4-8 months - General Dynamics Mission Systems - Canada</t>
  </si>
  <si>
    <t>Easy apply - Co-op Winter 2027 - Systems Integration, Verification, and Validation - 8-12 months - General Dynamics Mission Systems - Canada</t>
  </si>
  <si>
    <t>Co-op Winter 2027 – Project Engineer - 8 to 12 months - General Dynamics Mission Systems - Canada</t>
  </si>
  <si>
    <t>Co-op Winter 2027 – Systems Test Engineering - 4-8 Months - General Dynamics Mission Systems - Canada</t>
  </si>
  <si>
    <t>Co-op Winter 2027 - System of Systems Engineering - 8-16 Months - General Dynamics Mission Systems - Canada</t>
  </si>
  <si>
    <t>Co-op Winter 2027 – System Engineering - TacNet 8-16 Months - General Dynamics Mission Systems - Canada</t>
  </si>
  <si>
    <t>Intelcom</t>
  </si>
  <si>
    <t>Software Development Intern - Warehouse Productivity</t>
  </si>
  <si>
    <t>intelcomgroup.wd3.myworkdayjobs.com/en-US/Intelcom/job/Software-Development-Intern---Warehouse-Productivity_JR111578-1</t>
  </si>
  <si>
    <t>Software Development Intern - Address Intelligence Platform</t>
  </si>
  <si>
    <t>intelcomgroup.wd3.myworkdayjobs.com/en-US/Intelcom/job/Software-Development-Intern---Address-Intelligence-Platform_JR111611</t>
  </si>
  <si>
    <t>Removed Job (23011 - Stagiaire en développement logiciel - Optimisation des itinéraires)</t>
  </si>
  <si>
    <t>Careers</t>
  </si>
  <si>
    <t>23012 - Stagiaire Développeur Logiciel en Test</t>
  </si>
  <si>
    <t>Software Developer in Test Intern</t>
  </si>
  <si>
    <t>Site Reliability Engineering (SRE) Intern</t>
  </si>
  <si>
    <t>intelcomgroup.wd3.myworkdayjobs.com/en-US/Intelcom/job/Site-Reliability-Engineering--SRE--Intern_JR111560</t>
  </si>
  <si>
    <t>23014 - Stagiaire en DevOps</t>
  </si>
  <si>
    <t>intelcomgroup.wd3.myworkdayjobs.com/en-US/Intelcom/job/DevOps-Intern_JR111562</t>
  </si>
  <si>
    <t>Data Engineering Intern</t>
  </si>
  <si>
    <t>intelcomgroup.wd3.myworkdayjobs.com/en-US/Intelcom/job/Data-Engineering-Intern_JR111567</t>
  </si>
  <si>
    <t>23017 - Stagiaire en analyse de données IA</t>
  </si>
  <si>
    <t>AI Data Analyst Intern</t>
  </si>
  <si>
    <t>MacDon Industries Ltd.</t>
  </si>
  <si>
    <t>MacDon Industries Ltd. - Test Technician - 8 month term (Job ID: 23018).</t>
  </si>
  <si>
    <t>Mtl.ai</t>
  </si>
  <si>
    <t>mtl.ai - Full-Stack Product &amp; Platform Engineering Intern (Job ID: 23020).</t>
  </si>
  <si>
    <t>Kruger</t>
  </si>
  <si>
    <t>Kruger Services Inc - Stagiaire ingénierie - Trois-Rivières (Job ID: 22969).</t>
  </si>
  <si>
    <t>Corning - Corning Technology Center Montreal (CTCM)</t>
  </si>
  <si>
    <t>23024 - Intern - Fullstack Developer (React</t>
  </si>
  <si>
    <t>iBwave Solutions inc.</t>
  </si>
  <si>
    <t>iBwave Solutions Inc - Intern (Job ID: 23025).</t>
  </si>
  <si>
    <t>Huawei</t>
  </si>
  <si>
    <t>Huawei Technologies Canada Co., Ltd. - Co-op Researcher (Job ID: 23045).</t>
  </si>
  <si>
    <t>Dayforce</t>
  </si>
  <si>
    <t>Software Developer Intern 8 Months - Winter 2027 | Dayforce Jobs</t>
  </si>
  <si>
    <t>Product Engineer Intern 4 or 8 months - Winter 2027 | Dayforce Jobs</t>
  </si>
  <si>
    <t>Software Developer in Test Intern 8 months - Winter 2027 | Dayforce Jobs</t>
  </si>
  <si>
    <t>Qualcomm</t>
  </si>
  <si>
    <t>FY27 Intern - Compute DSP/AI Processor Engineering Internship - Canada (16 months) | Qualcomm</t>
  </si>
  <si>
    <t>FY27 Intern - Machine Learning Compiler &amp; Performance Engineering Intern - Canada (16 months) | Qualcomm</t>
  </si>
  <si>
    <t>FY27 Intern - Low Power AI Software Development Internship - Canada (16 months) | Qualcomm</t>
  </si>
  <si>
    <t>FY27 Intern - PAL Firmware Development Internship - Canada (16 months) | Qualcomm</t>
  </si>
  <si>
    <t>FY27 Intern - Low-Power AI, Audio, and Sensors Subsystem Engineering Internship - ASIC Firmware / Embedded - Canada (12 or 16 months) | Qualcomm</t>
  </si>
  <si>
    <t>FY27 Intern - Firmware/Embedded Software Engineering Internship - Canada (12 or 16 months) | Qualcomm</t>
  </si>
  <si>
    <t>FY27 Intern - IP Applications Engineering Internship - Canada (16 months) | Qualcomm</t>
  </si>
  <si>
    <t>https://careers.qualcomm.com/careers/job/446721156615</t>
  </si>
  <si>
    <t>FY27 Intern - MSIP Digital Design Engineering Internship - Canada (16 months) | Qualcomm</t>
  </si>
  <si>
    <t>FY27 Intern - MSIP Digital Design Verification Engineering Internship - Canada (16 months) | Qualcomm</t>
  </si>
  <si>
    <t>FY27 Intern - Silicon Validation Engineer, Electrical and Optical Systems Internship - Canada (16 months) | Qualcomm</t>
  </si>
  <si>
    <t>FY27 Intern - Silicon Validation Internship - Canada (16 months) | Qualcomm</t>
  </si>
  <si>
    <t>FY27 Intern - Display IP Engineering Internship - Canada (16 months) | Qualcomm</t>
  </si>
  <si>
    <t>FY27 Intern - Analog Design Internship - Canada (12 or 16 months) | Qualcomm</t>
  </si>
  <si>
    <t>FY27 Intern - Physical Mixed Layout Engineering Internship - Canada (16 months) | Qualcomm</t>
  </si>
  <si>
    <t>Société en Commandite Airbus Canada - Recruitment</t>
  </si>
  <si>
    <t>23147 - STAGE DÉVELOPPEUR FULL STACK / INTERNSHIP FULL STACK DEVELOPER</t>
  </si>
  <si>
    <t>23149 - STAGE TI ingénierie en service - Structure / IT INTERNSHIP In service engineering - Structure</t>
  </si>
  <si>
    <t>Veeva</t>
  </si>
  <si>
    <t>Veeva Systems - Intern Software Engineer - Toronto [12 - 16 Months]</t>
  </si>
  <si>
    <t>Davie</t>
  </si>
  <si>
    <t>Stagiaire en génie informatique - Contrôle de projet - Davie Carrières</t>
  </si>
  <si>
    <t>CENGN</t>
  </si>
  <si>
    <t>23179 - Cloud Native Developer Co-op</t>
  </si>
  <si>
    <t>Log into Atlassian - CENGN Jira</t>
  </si>
  <si>
    <t>CNRC</t>
  </si>
  <si>
    <t>Conseil national de recherches Canada (CNRC) / National Research Council of Canada (NRC) - AI Research Student (Job ID: 23180).</t>
  </si>
  <si>
    <t>PEMBROKE MANAGEMENT LTD - Pembroke Management Ltd.</t>
  </si>
  <si>
    <t>23223 - Part-time Intern - AI Implementation</t>
  </si>
  <si>
    <t>PEMBROKE MANAGEMENT LTD - Full-time Intern - AI Implementation (Job ID: 23224).</t>
  </si>
  <si>
    <t>RBI</t>
  </si>
  <si>
    <t>Undergraduate Summer Internship Program - Toronto</t>
  </si>
  <si>
    <t>Analytic Partners</t>
  </si>
  <si>
    <t>Analytic Partners - Software Engineer Co-Op | McGill University</t>
  </si>
  <si>
    <t>Miami</t>
  </si>
  <si>
    <t>Genetec Inc. - Network Administrator (Job ID: 21316).</t>
  </si>
  <si>
    <t>21315 - DevOps Administrator (SCMT - DevOps Admins)</t>
  </si>
  <si>
    <t>21314 - Software Developer - Clearance (Full Stack)</t>
  </si>
  <si>
    <t>21313 - Hardware designer</t>
  </si>
  <si>
    <t>21308 - Software Developer - C# (AutoVu) - Ktulu Team</t>
  </si>
  <si>
    <t>21307 - Software Developer</t>
  </si>
  <si>
    <t>21306 - Software Developer - Edge Devices</t>
  </si>
  <si>
    <t>21305 - C++/C# Software Developer (Video Integration)</t>
  </si>
  <si>
    <t>21304 - Computer vision and machine learning software developer</t>
  </si>
  <si>
    <t>21301 - System Test Analyst - Security Center SaaS</t>
  </si>
  <si>
    <t>21300 - Software Developer - Cloud (DevOps/Full Stack)</t>
  </si>
  <si>
    <t>21298 - Software Developer - Monitoring and Observability</t>
  </si>
  <si>
    <t>21297 - Software Developer - Digital Twin</t>
  </si>
  <si>
    <t>21296 - Software Developer in Test - Access Control</t>
  </si>
  <si>
    <t>21294 - Software Developer - Edge OS</t>
  </si>
  <si>
    <t>21293 - Software developper - Platform Engineering</t>
  </si>
  <si>
    <t>21292 - Software Developer - C#/.NET/Web</t>
  </si>
  <si>
    <t>21291 - System Test Analyst AutoVu - Phoenix</t>
  </si>
  <si>
    <t>21290 - Software Tester (Digital Information)</t>
  </si>
  <si>
    <t>21288 - Data Analyst</t>
  </si>
  <si>
    <t>21287 - Software Developer - Process Automation</t>
  </si>
  <si>
    <t>21286 - Software Developer - Digital Experience</t>
  </si>
  <si>
    <t>21285 - Software Developer (Professional Services Operations)</t>
  </si>
  <si>
    <t>21284 - Software Developer - Cloud Security Specialist</t>
  </si>
  <si>
    <t>21283 - Software Developer - C# AutoVu - Cerberus</t>
  </si>
  <si>
    <t>21282 - Operations Analyst</t>
  </si>
  <si>
    <t>21280 - Firmware Designer</t>
  </si>
  <si>
    <t>21279 - Software Developer - Cloud &amp; Full Stack AutoVu - Tiamat Team</t>
  </si>
  <si>
    <t>21278 - Intelligent Mobility Solutions Developer</t>
  </si>
  <si>
    <t>21277 - C#/F#/Go Software Developer (VoIP - Sipelia)</t>
  </si>
  <si>
    <t>21276 - Software Developer C# - Cloud Video</t>
  </si>
  <si>
    <t>21245 - C#/Web Software Developer</t>
  </si>
  <si>
    <t>21244 - Technical Infrastructure Specialist</t>
  </si>
  <si>
    <t>21243 - Software Tester</t>
  </si>
  <si>
    <t>21242 - Software Developer - Unified Content Services</t>
  </si>
  <si>
    <t>21238 - C# Software Developer in Test - Infrastructure</t>
  </si>
  <si>
    <t>21237 - Software Tester</t>
  </si>
  <si>
    <t>21235 - Mobile Software Developer</t>
  </si>
  <si>
    <t>21233 - IT Application Analyst</t>
  </si>
  <si>
    <t>21232 - Software Developer - Cloud (DevOps/Full stack)</t>
  </si>
  <si>
    <t>21231 - System Test Specialist</t>
  </si>
  <si>
    <t>21230 - Software Developer C# - Video</t>
  </si>
  <si>
    <t>21229 - Security Operations Center Analyst</t>
  </si>
  <si>
    <t>21228 - Cloud Operations Analyst</t>
  </si>
  <si>
    <t>21227 - IT Support Specialist</t>
  </si>
  <si>
    <t>21226 - Software Developer</t>
  </si>
  <si>
    <t>21224 - Application Security Analyst</t>
  </si>
  <si>
    <t>21364 - Software Developer - Cloud</t>
  </si>
  <si>
    <t>21430 - Software Developer - Edge Devices</t>
  </si>
  <si>
    <t>21431 - Endpoint Systems Administrator</t>
  </si>
  <si>
    <t>21432 - System Test Specialist</t>
  </si>
  <si>
    <t>21433 - Software Developer - Cloud</t>
  </si>
  <si>
    <t>21434 - C# Software Developer - Application Platform Team</t>
  </si>
  <si>
    <t>21436 - C# Software Developer - Infrastructure/Mission Control</t>
  </si>
  <si>
    <t>Full Stack Developer co-op</t>
  </si>
  <si>
    <t>Tourmaline</t>
  </si>
  <si>
    <t>Engineering Data and Analytics Intern Student</t>
  </si>
  <si>
    <t>Marmen</t>
  </si>
  <si>
    <t>Stagiaire - Technologies de l’information (2e ou 3e année H2027)</t>
  </si>
  <si>
    <t>Trois-Rivières</t>
  </si>
  <si>
    <t>Centre de carrières | Recrutement</t>
  </si>
  <si>
    <t>PCL Construction</t>
  </si>
  <si>
    <t>Étudiant en technologie</t>
  </si>
  <si>
    <t>Étudiant(e) en technologie Détails de l’emploi | PCL Construction</t>
  </si>
  <si>
    <t>Sweet tech</t>
  </si>
  <si>
    <t>Software development intern</t>
  </si>
  <si>
    <t>Software Development Intern (Winter 2027) | Careers | Sweet</t>
  </si>
  <si>
    <t>2027 Programme d'été en Technologie (Montreal) / 2027 Summer Technology Analyst Program (Montreal)</t>
  </si>
  <si>
    <t>2027 Programme d'été en Technologie (Montreal) / 2027 Summer Technology Analyst Program (Montreal) - Morgan Stanley Campus</t>
  </si>
  <si>
    <t>Famic Technologies Inc.</t>
  </si>
  <si>
    <t>Famic Technologies Inc. - Stage : Développement de tests automatisés de simulation de composants et de systèmes (Job ID: 21171).</t>
  </si>
  <si>
    <t>Famic Technologies Inc. - Stage : Conception et Développement Logiciel (Job ID: 21170).</t>
  </si>
  <si>
    <t>BrainCo</t>
  </si>
  <si>
    <t>BrainCo - AI Security Engineer Co-op Intern (Job ID: 21395).</t>
  </si>
  <si>
    <t>BrainCo - Machine Learning Engineer (Job ID: 21398).</t>
  </si>
  <si>
    <t>BrainCo - AI Product Engineer Co-Op Intern (Job ID: 21400).</t>
  </si>
  <si>
    <t>BrainCo - AI Platform Engineer Co-op Intern (Job ID: 21399).</t>
  </si>
  <si>
    <t>GE Vernova</t>
  </si>
  <si>
    <t>GE Vernova - Hydro - Stage Gestion de Projet ingénierie (Job ID: 21333).</t>
  </si>
  <si>
    <t>Walter technologies pour surfaces / Walter Surface Technologies - Walter Surface Technologies</t>
  </si>
  <si>
    <t>21676 - Data Management and Web Analytics Intern</t>
  </si>
  <si>
    <t>Ribbon Communications - Common Cloud Services</t>
  </si>
  <si>
    <t>21713 - Stage en développement logiciel - Groupe Analytique</t>
  </si>
  <si>
    <t>CanmetENERGY-Ottawa - Natural Resources Canada - CanmetENERGY-Ottawa</t>
  </si>
  <si>
    <t>21718 - (403) Research Assistant</t>
  </si>
  <si>
    <t>Alayacare Inc</t>
  </si>
  <si>
    <t>Fullstack Developer Intern (Python) (Job ID: 21729).</t>
  </si>
  <si>
    <t>Hydro-Québec</t>
  </si>
  <si>
    <t>Stage universitaire | Gestion de projets - Hiver 2027 Détails du poste | Hydro-Québec</t>
  </si>
  <si>
    <t>Stage universitaire | Développement d'outils et analyse de données (éolien) - Hiver 2027 Détails du poste | Hydro-Québec</t>
  </si>
  <si>
    <t>Stage universitaire | Technologies numériques - Cybersécurité - Hiver 2027 Détails du poste | Hydro-Québec</t>
  </si>
  <si>
    <t>Stage universitaire | Technologies numériques - Développement - Hiver 2027 Détails du poste | Hydro-Québec</t>
  </si>
  <si>
    <t>Stage universitaire | génie informatique - Hiver 2027 Détails du poste | Hydro-Québec</t>
  </si>
  <si>
    <t>Stage universitaire | Informatique de gestion - Hiver 2027 Détails du poste | Hydro-Québec</t>
  </si>
  <si>
    <t>Stage universitaire | Techno. numériques - Admin. des systèmes et des infrastr. TI - Hiver 2027 Détails du poste | Hydro-Québec</t>
  </si>
  <si>
    <t>Stage universitaire | Administration des systèmes et des infrastructures TI - Hiver 2027 Détails du poste | Hydro-Québec</t>
  </si>
  <si>
    <t>Stage universitaire | Analyse de données - Hiver 2027 Détails du poste | Hydro-Québec</t>
  </si>
  <si>
    <t>Stage universitaire | Technologies numériques - Gestion de projets - Hiver 2027 Détails du poste | Hydro-Québec</t>
  </si>
  <si>
    <t>Stage universitaire | Technologies numériques - Génie logiciel - Hiver 2027 Détails du poste | Hydro-Québec</t>
  </si>
  <si>
    <t>Careers at Autodesk | Autodesk</t>
  </si>
  <si>
    <t>Avantage plus</t>
  </si>
  <si>
    <t>Candidature spontannée</t>
  </si>
  <si>
    <t>A+ Gestion | Conception | Construction - Candidature spontanée - Candidature</t>
  </si>
  <si>
    <t>BBA</t>
  </si>
  <si>
    <t>Spontaneous application</t>
  </si>
  <si>
    <t>Apply for Connect with us (spontaneous application) | Application</t>
  </si>
  <si>
    <t>Internship, Studies and electrical engineering - Winter 2027 | Job Details</t>
  </si>
  <si>
    <t>Software Developer Intern | DRW</t>
  </si>
  <si>
    <t>Internships - Famic Technologies Inc.</t>
  </si>
  <si>
    <t>IPConsul</t>
  </si>
  <si>
    <t>Career | IPConsul</t>
  </si>
  <si>
    <t>Lumentum</t>
  </si>
  <si>
    <t>Matrox</t>
  </si>
  <si>
    <t>Intern, Software (S-01-02) Winter 2027 | Career Opportunities</t>
  </si>
  <si>
    <t>Intern, Software Quality Assurance (S-02-11) Winter 2027 | Career Opportunities</t>
  </si>
  <si>
    <t>Intern, Software Quality Assurance (S-01-03) Winter 2027 | Career Opportunities</t>
  </si>
  <si>
    <t>Intern, Quality and Conformity (S-09-03) Winter 2027 | Career Opportunities</t>
  </si>
  <si>
    <t>Software Designer, USB Specialist | Career Opportunities</t>
  </si>
  <si>
    <t>Software Designer C# / Angular, Embedded Applications | Career Opportunities</t>
  </si>
  <si>
    <t>Orthogone</t>
  </si>
  <si>
    <t>New Graduates and interns | Orthogone</t>
  </si>
  <si>
    <t>CSE/CST</t>
  </si>
  <si>
    <t>CSE Summer 2027 Student Opportunities in Computer Science and Engineering</t>
  </si>
  <si>
    <t>Student Opportunities in Communications (Marketing, Internal or External communications), or Web Design (HTML front-end coding)</t>
  </si>
  <si>
    <t xml:space="preserve">Student Opportunities in Cryptography </t>
  </si>
  <si>
    <t>Student Opportunities in Data Science</t>
  </si>
  <si>
    <t>Student Opportunities in Geographic Information Systems (GIS) Development</t>
  </si>
  <si>
    <t>Student Opportunities in Mechanical, Electrical, and Radio Frequency Engineering</t>
  </si>
  <si>
    <t>Alten Canada</t>
  </si>
  <si>
    <t>Carrière - ALTEN Canada</t>
  </si>
  <si>
    <t>Brim Financial</t>
  </si>
  <si>
    <t>Engineering Intern</t>
  </si>
  <si>
    <t>Careers | Brim Financial</t>
  </si>
  <si>
    <t>Junior Software Engineer</t>
  </si>
  <si>
    <t>CGI</t>
  </si>
  <si>
    <t>Winter 2027: AI Developer Co-op (4 months)</t>
  </si>
  <si>
    <t>Careers | CGI.com</t>
  </si>
  <si>
    <t>Winter 2027: Operations Analyst Co-op (12 months)</t>
  </si>
  <si>
    <t>Winter 2027 Co-op: Business Analyst (4 months)</t>
  </si>
  <si>
    <t>Winter 2027 Co-op: Junior Developer (8 months)</t>
  </si>
  <si>
    <t>Winter 2027 Co-op: Quality Assurance Analyst (8 months)</t>
  </si>
  <si>
    <t>Winter 2027 Co-op: AI Specialist Intern (4 months)</t>
  </si>
  <si>
    <t>https://cgi.njoyn.com/CORP/xweb/xweb.asp?NTKN=c&amp;clid=21001&amp;Page=JobDetails&amp;Jobid=J0926-1951&amp;BRID=1335774&amp;lang=1</t>
  </si>
  <si>
    <t>Winter 2027 Co-op: Technical Development Consultant (Master's Co-op)</t>
  </si>
  <si>
    <t>WiSE Winter 2027 Co-op: Business and Technology Consultant (Undergraduate Co-op)</t>
  </si>
  <si>
    <t>Winter 2027 Co-op: Business and Technology Consultant (Undergraduate Co-op)</t>
  </si>
  <si>
    <t>Stage coopératif - Hiver 2027 Analyste ServiceNow (4 months)</t>
  </si>
  <si>
    <t>Stage coopératif - Hiver 2027– Développement ServiceNow (4 months)</t>
  </si>
  <si>
    <t>Coop AI Developer</t>
  </si>
  <si>
    <t>CSA</t>
  </si>
  <si>
    <t>Robotics Systems Engineering Internship</t>
  </si>
  <si>
    <t>Robotics Systems Engineering Internship - Application Form</t>
  </si>
  <si>
    <t>Canadarm3 Program Systems Engineering Internship</t>
  </si>
  <si>
    <t>https://asc-csa.hiringplatform.ca/252640-stage-d-ingenierie-des-systemes-du-programme-canadarm3/1145913-formulaire/en</t>
  </si>
  <si>
    <t>Intern, IT Enterprise architecture</t>
  </si>
  <si>
    <t>Intern, IT Enterprise architecture - Application Form</t>
  </si>
  <si>
    <t>Revolut</t>
  </si>
  <si>
    <t>Revolut Talent Programme</t>
  </si>
  <si>
    <t>Google Form filled</t>
  </si>
  <si>
    <t>mthree</t>
  </si>
  <si>
    <t>Développeur génie logiciel junior / Junior Software Developer</t>
  </si>
  <si>
    <t>Job | mthree</t>
  </si>
  <si>
    <t>Controles laurentides</t>
  </si>
  <si>
    <t>Electrical Instrumentation &amp; Control Technician</t>
  </si>
  <si>
    <t>Electrical Instrumentation &amp; Control Technician | Students, Interns and Recent Graduates</t>
  </si>
  <si>
    <t>Gouvernement du Canada</t>
  </si>
  <si>
    <t>Banque d'emplois étudiants</t>
  </si>
  <si>
    <t>Opportunités de carrière : postulé pour Stage universitaire | Technologies numériques - Cybersécurité - Hiver 2027 (188478)</t>
  </si>
  <si>
    <t>Opportunités de carrière : postulé pour Stage universitaire | Gestion de projets - Hiver 2027 (188611)</t>
  </si>
  <si>
    <t>Stage universitaire | Valorisation des données et Power BI - Hiver 2027 Détails du poste | Hydro-Québec</t>
  </si>
  <si>
    <t>Opportunités de carrière : postulé pour Stage universitaire | Génie Automatisation - Hiver 2027 (188632)</t>
  </si>
  <si>
    <t>Stage universitaire | Informatique - Hiver 2027 Détails du poste | Hydro-Québec</t>
  </si>
  <si>
    <t>Stage universitaire | Robotique et systèmes automatisés (profil multidisciplinaire) - Hiver 2027 Détails du poste | Hydro-Québec</t>
  </si>
  <si>
    <t>Stage universitaire | Génie électrique - Hiver 2027 Détails du poste | Hydro-Québec</t>
  </si>
  <si>
    <t>Stage universitaire | Développement de programme (efficacité énergétique) - Hiver 2027 Détails du poste | Hydro-Québec</t>
  </si>
  <si>
    <t>Stage universitaire | Recherche et développement - Hiver 2027 Détails du poste | Hydro-Québec</t>
  </si>
  <si>
    <t>Stage universitaire | Optimisation et modélisation énergétique - Hiver 2027 Détails du poste | Hydro-Québec</t>
  </si>
  <si>
    <t>Stage universitaire | Gestion des opérations - Hiver 2027 Détails du poste | Hydro-Québec</t>
  </si>
  <si>
    <t>Stage universitaire | Gestion de projets (administration) - Hiver 2027 Détails du poste | Hydro-Québec</t>
  </si>
  <si>
    <t>Stage universitaire | Technologies numériques - Analyste fonctionnel - Hiver 2027 Détails du poste | Hydro-Québec</t>
  </si>
  <si>
    <t>Cisco</t>
  </si>
  <si>
    <t>Software Developer Full Stack / Backend I (Co-op) - Canada | Cisco | LinkedIn</t>
  </si>
  <si>
    <t>Professionnel ing.</t>
  </si>
  <si>
    <t>Gendarmerie royale du Canada - Royal Canadian Mounted Police (RCMP) - Human Resources</t>
  </si>
  <si>
    <t>23368 - Intercept Support Specialist</t>
  </si>
  <si>
    <t>NVIDIA</t>
  </si>
  <si>
    <t>NVIDIA 2027 Ignite Internships: Software Engineering</t>
  </si>
  <si>
    <t>Santa Clara, California</t>
  </si>
  <si>
    <t>23336 - Software Developer</t>
  </si>
  <si>
    <t>Dalhousie University - DeepSense</t>
  </si>
  <si>
    <t>23284 - Machine Learning Intern</t>
  </si>
  <si>
    <t>Halifax, Nova Scotia</t>
  </si>
  <si>
    <t>23277 - STAGE en automatisation des flux et IA / INTERNSHIP in Workflow Automation and AI</t>
  </si>
  <si>
    <t>23276 - Stagiaire - PMBP &amp; Analyste de données / Project Management &amp; Data Analyst Intern</t>
  </si>
  <si>
    <t>Yellow Point Equity Partners - YP</t>
  </si>
  <si>
    <t>23274 - Private Equity Summer Analyst</t>
  </si>
  <si>
    <t>Vancouver</t>
  </si>
  <si>
    <t>Orthogone - Engineering</t>
  </si>
  <si>
    <t>23240 - FPGA developer</t>
  </si>
  <si>
    <t>23239 - Software Developer</t>
  </si>
  <si>
    <t>Arc'teryx Equipment - Headquarters</t>
  </si>
  <si>
    <t>23235 - Arc'teryx VARIOUS Internships - Winter 2027</t>
  </si>
  <si>
    <t>North Vancouver</t>
  </si>
  <si>
    <t>Grass Valley - Human Ressources</t>
  </si>
  <si>
    <t>21570 - Intern, Software Development (C#)</t>
  </si>
  <si>
    <t>Date posted</t>
  </si>
  <si>
    <t>Harvey</t>
  </si>
  <si>
    <t>Software Engineer Intern (Winter 2027)</t>
  </si>
  <si>
    <t>Toronto, ON</t>
  </si>
  <si>
    <t>Oct 2, 2026</t>
  </si>
  <si>
    <t>10/7/2026</t>
  </si>
  <si>
    <t>https://jobs.ashbyhq.com/harvey/d40e15aa-2351-4be8-ac8f-1faf60bfcdbf/</t>
  </si>
  <si>
    <t>Auto-imported from Canada Tech Internships</t>
  </si>
  <si>
    <t>Solink</t>
  </si>
  <si>
    <t>Software Engineer Co-op, Agents</t>
  </si>
  <si>
    <t>Ottawa, ON / Remote, Canada</t>
  </si>
  <si>
    <t>https://jobs.ashbyhq.com/solink/8493613d-ea47-4182-ac0b-f5f24d11f49e/</t>
  </si>
  <si>
    <t>Mila</t>
  </si>
  <si>
    <t>AI Safety Research Intern</t>
  </si>
  <si>
    <t>Montreal, QC</t>
  </si>
  <si>
    <t>https://apply.workable.com/mila-2/j/1E81635604/</t>
  </si>
  <si>
    <t>Automation Engineer Co-op Intern (Winter 2027)</t>
  </si>
  <si>
    <t>Ottawa, ON</t>
  </si>
  <si>
    <t>https://fa-evmr-saasfaprod1.fa.ocs.oraclecloud.com/hcmUI/CandidateExperience/en/sites/CX_1/job/41168</t>
  </si>
  <si>
    <t>AI/ML Researcher Intern (Winter 2027)</t>
  </si>
  <si>
    <t>Remote, Canada</t>
  </si>
  <si>
    <t>https://careers-kinaxis.icims.com/jobs/35465/job?mobile=true&amp;needsRedirect=false</t>
  </si>
  <si>
    <t>Definity Financial</t>
  </si>
  <si>
    <t>Operations Analyst Co-op Intern (Winter 2027)</t>
  </si>
  <si>
    <t>https://hdks.fa.ca2.oraclecloud.com/hcmUI/CandidateExperience/en/sites/CX_1/job/9410</t>
  </si>
  <si>
    <t>Intel</t>
  </si>
  <si>
    <t>Thermal Mechanical Engineering Intern, GPU Platforms</t>
  </si>
  <si>
    <t>https://intel.wd1.myworkdayjobs.com/en-us/external/job/Canada-Toronto/Thermal-Mechanical-Engineering-Undergraduate-Intern--GPU-Platforms_JR0287516</t>
  </si>
  <si>
    <t>Hitachi Energy</t>
  </si>
  <si>
    <t>Hardware Test Engineering Intern (Summer 2027)</t>
  </si>
  <si>
    <t>https://hitachi.wd1.myworkdayjobs.com/hitachi/job/Toronto-Ontario-Canada/Hardware-Test-Engineering-Intern--Summer-2027--16months-_R0142476</t>
  </si>
  <si>
    <t>Stripe</t>
  </si>
  <si>
    <t>Data Analyst Intern</t>
  </si>
  <si>
    <t>Oct 1, 2026</t>
  </si>
  <si>
    <t>https://stripe.com/jobs/search?gh_jid=8194287</t>
  </si>
  <si>
    <t>↳</t>
  </si>
  <si>
    <t>PhD Data Scientist</t>
  </si>
  <si>
    <t>https://stripe.com/jobs/search?gh_jid=8194285</t>
  </si>
  <si>
    <t>Pinterest</t>
  </si>
  <si>
    <t>Machine Learning Intern</t>
  </si>
  <si>
    <t>https://www.pinterestcareers.com/jobs/?gh_jid=8138080</t>
  </si>
  <si>
    <t>AI Data Developer Intern (Winter 2027)</t>
  </si>
  <si>
    <t>https://autodesk.wd1.myworkdayjobs.com/uni/job/Toronto-ON-CAN/Intern--AI-Data-Developer--Winter-_26WD101082</t>
  </si>
  <si>
    <t>AI/ML Platform Intern (Winter 2027)</t>
  </si>
  <si>
    <t>https://autodesk.wd1.myworkdayjobs.com/Ext/job/Toronto-ON-CAN/Intern--AI-ML-Platform--Winter-_26WD101061-1</t>
  </si>
  <si>
    <t>Software Developer Intern (Summer 2027)</t>
  </si>
  <si>
    <t>https://autodesk.wd1.myworkdayjobs.com/uni/job/Toronto-ON-CAN/Software-Development-Internship--Summer-2027-_26WD101436</t>
  </si>
  <si>
    <t>Product Management Intern (Winter 2027)</t>
  </si>
  <si>
    <t>https://autodesk.wd1.myworkdayjobs.com/uni/job/Toronto-ON-CAN/Intern--Product-Management--Winter-2027-_26WD101442</t>
  </si>
  <si>
    <t>Sun Life</t>
  </si>
  <si>
    <t>Associate Software Engineer Co-op (Winter 2027)</t>
  </si>
  <si>
    <t>https://sunlife.wd3.myworkdayjobs.com/en-US/Campus/job/Toronto-Ontario/Student--Associate-Software-Engineer--Winter-2027-_JR00128318</t>
  </si>
  <si>
    <t>Software Engineering Intern</t>
  </si>
  <si>
    <t>https://www.pinterestcareers.com/jobs/8138039/software-engineering-intern-2027-toronto/?gh_jid=8138039</t>
  </si>
  <si>
    <t>Software Development Internship (Winter 2027)</t>
  </si>
  <si>
    <t>https://autodesk.wd1.myworkdayjobs.com/en-US/Ext/job/Toronto-ON-CAN/Software-Development-Internship--Winter-2027-_26WD101435-1</t>
  </si>
  <si>
    <t>Intern Developer, AI Solutions (Winter 2027)</t>
  </si>
  <si>
    <t>https://careers-kinaxis.icims.com/jobs/35343/intern-developer%2c-ai-solutions/job</t>
  </si>
  <si>
    <t>Graphics Hardware Validation Undergraduate Engineering Intern</t>
  </si>
  <si>
    <t>https://intel.wd1.myworkdayjobs.com/en-us/external/job/Canada-Toronto/Graphics-Hardware-Validation-Undergraduate-Engineering-Intern_JR0287535</t>
  </si>
  <si>
    <t>Electronic Arts</t>
  </si>
  <si>
    <t>Software Engineer Intern</t>
  </si>
  <si>
    <t>Vancouver, BC</t>
  </si>
  <si>
    <t>Sep 30, 2026</t>
  </si>
  <si>
    <t>https://jobs.ea.com/en_US/careers/JobDetail/Software-Engineer-Intern/216227</t>
  </si>
  <si>
    <t>Moment Energy</t>
  </si>
  <si>
    <t>Data Scientist Co-op (Winter 2027)</t>
  </si>
  <si>
    <t>Surrey, BC</t>
  </si>
  <si>
    <t>Sep 26, 2026</t>
  </si>
  <si>
    <t>https://job-boards.greenhouse.io/momentenergy/jobs/4421775009</t>
  </si>
  <si>
    <t>Operations Analytics Co-op Intern (Winter 2027)</t>
  </si>
  <si>
    <t>Sep 25, 2026</t>
  </si>
  <si>
    <t>https://fa-evmr-saasfaprod1.fa.ocs.oraclecloud.com/hcmUI/CandidateExperience/en/sites/CX_1/job/40261</t>
  </si>
  <si>
    <t>Acuity</t>
  </si>
  <si>
    <t>Firmware Development Intern</t>
  </si>
  <si>
    <t>Brossard, QC</t>
  </si>
  <si>
    <t>https://careers.acuityinc.com/job/Brossard-Stage-en-d%C3%A9veloppement-micrologicielfirmware-Qu%C3%A9b-J4Y-0C4/1434107300/?ats=successfactors</t>
  </si>
  <si>
    <t>Cenovus Energy</t>
  </si>
  <si>
    <t>Information Technology Student (Summer 2027)</t>
  </si>
  <si>
    <t>Calgary, AB</t>
  </si>
  <si>
    <t>Sep 24, 2026</t>
  </si>
  <si>
    <t>https://cenovus.wd3.myworkdayjobs.com/careers/job/CA-AB-Calgary/Student--IT--Data-Science-and-Software--Calgary--May-2027-_R-411145</t>
  </si>
  <si>
    <t>Hardware Development Intern</t>
  </si>
  <si>
    <t>https://careers.acuityinc.com/job/Brossard-Stagiaire-d%C3%A9veloppement-mat%C3%A9riel-(hardware</t>
  </si>
  <si>
    <t>PAL Firmware Development Internship (Summer 2027)</t>
  </si>
  <si>
    <t>Markham, ON</t>
  </si>
  <si>
    <t>Sep 23, 2026</t>
  </si>
  <si>
    <t>https://qualcomm.eightfold.ai/careers/job/446721229661</t>
  </si>
  <si>
    <t>Mackenzie Investments</t>
  </si>
  <si>
    <t>Portfolio Strategy, Research, Governance and Oversight Intern (Winter 2027)</t>
  </si>
  <si>
    <t>https://careersen-mackenzieinvestments.icims.com/jobs/6014/job?mobile=true&amp;needsRedirect=false</t>
  </si>
  <si>
    <t>Firmware Development Undergraduate Engineering Co-op (Winter 2027)</t>
  </si>
  <si>
    <t>https://intel.wd1.myworkdayjobs.com/en-us/external/job/Virtual-Canada/Firmware-Development-Undergraduate-Engineering-Co-op_JR0286862</t>
  </si>
  <si>
    <t>Analog Devices</t>
  </si>
  <si>
    <t>Embedded Software Engineer Intern</t>
  </si>
  <si>
    <t>Toronto, ON / Vancouver, BC</t>
  </si>
  <si>
    <t>https://analogdevices.wd1.myworkdayjobs.com/External/job/Canada-Toronto/Embedded-Software-Engineer_R266615</t>
  </si>
  <si>
    <t>Rendering Engineer Intern (Summer 2027)</t>
  </si>
  <si>
    <t>Sep 22, 2026</t>
  </si>
  <si>
    <t>https://jobs.ea.com/en_US/careers/JobDetail/Rendering-Engineer-Intern/216222</t>
  </si>
  <si>
    <t>AI Engineer Intern (Summer 2027)</t>
  </si>
  <si>
    <t>https://jobs.ea.com/en_US/careers/JobDetail/AI-Engineer/216236</t>
  </si>
  <si>
    <t>L3Harris Technologies</t>
  </si>
  <si>
    <t>Software Engineer Co-op</t>
  </si>
  <si>
    <t>Waterdown, ON</t>
  </si>
  <si>
    <t>https://jobs.l3harris.com/job/Waterdown-Software-Engineering-Co-Op-(Waterdown,-CAN</t>
  </si>
  <si>
    <t>CIBC</t>
  </si>
  <si>
    <t>Software/Application Developer Co-op (Winter 2026)</t>
  </si>
  <si>
    <t>https://cibc.wd3.myworkdayjobs.com/campus/job/Toronto-ON/Software-Application-Developer-Co-op_2619461</t>
  </si>
  <si>
    <t>Ciena</t>
  </si>
  <si>
    <t>ASIC Engineer Intern (Winter 2027)</t>
  </si>
  <si>
    <t>https://ciena.wd5.myworkdayjobs.com/Careers/job/Ottawa/ASIC-Engineer-Intern_R031750</t>
  </si>
  <si>
    <t>Danaher</t>
  </si>
  <si>
    <t>Hardware Engineer Co-op</t>
  </si>
  <si>
    <t>Concord, ON</t>
  </si>
  <si>
    <t>https://danaher.wd1.myworkdayjobs.com/DanaherJobs/job/Concord-Ontario-Canada/Hardware-Engineering-Co-op_R1317537</t>
  </si>
  <si>
    <t>Rodan Energy Solutions</t>
  </si>
  <si>
    <t>Data Operations Engineer AI Co-op (Winter 2027)</t>
  </si>
  <si>
    <t>Mississauga, ON</t>
  </si>
  <si>
    <t>Sep 21, 2026</t>
  </si>
  <si>
    <t>https://rodanenergysolutionsinc.applytojob.com/apply/baC6tVrSpB/Data-Operations-Engineer-AI-Coop-Student-Winter-2027</t>
  </si>
  <si>
    <t>Achievers</t>
  </si>
  <si>
    <t>Sep 19, 2026</t>
  </si>
  <si>
    <t>https://jobs.lever.co/achievers/e0700fce-b33b-435a-ab90-84bbd677e181/</t>
  </si>
  <si>
    <t>Product Management Intern</t>
  </si>
  <si>
    <t>https://autodesk.wd1.myworkdayjobs.com/uni/job/Montreal-QC-CAN/Product-Management-Intern--Stagiaire-Gestion-de-Produit_26WD101135-1</t>
  </si>
  <si>
    <t>The Brattle Group</t>
  </si>
  <si>
    <t>Energy Analyst Intern (Economics)</t>
  </si>
  <si>
    <t>Sep 18, 2026</t>
  </si>
  <si>
    <t>https://job-boards.greenhouse.io/thebrattlegroup/jobs/4736066005</t>
  </si>
  <si>
    <t>IP Applications Engineering Intern</t>
  </si>
  <si>
    <t>https://qualcomm.eightfold.ai/careers/job/446721156615</t>
  </si>
  <si>
    <t>MSIP Digital Design Verification Engineering Intern</t>
  </si>
  <si>
    <t>https://qualcomm.eightfold.ai/careers/job/446721156800</t>
  </si>
  <si>
    <t>Silicon Validation Engineer, Electrical and Optical Systems Internship</t>
  </si>
  <si>
    <t>https://qualcomm.eightfold.ai/careers/job/446721156176</t>
  </si>
  <si>
    <t>FluidAI Medical</t>
  </si>
  <si>
    <t>Data and AI Engineering Associate</t>
  </si>
  <si>
    <t>Kitchener, ON</t>
  </si>
  <si>
    <t>https://ats.rippling.com/fluidai-medical-careers/jobs/e52b9e0d-0c04-42be-8da6-288203e18e52</t>
  </si>
  <si>
    <t>BGIS</t>
  </si>
  <si>
    <t>Asset Management Analyst Intern</t>
  </si>
  <si>
    <t>https://fa-evcg-saasfaprod1.fa.ocs.oraclecloud.com/hcmUI/CandidateExperience/en/sites/CX_1/job/233080</t>
  </si>
  <si>
    <t>Software Development Engineer Intern</t>
  </si>
  <si>
    <t>https://amazon.jobs/en/jobs/10553947/software-development-engineer-intern-summer-2027-can</t>
  </si>
  <si>
    <t>Low Power AI Software Development Internship</t>
  </si>
  <si>
    <t>https://qualcomm.eightfold.ai/careers/job/446721143440</t>
  </si>
  <si>
    <t>Silicon Validation Intern</t>
  </si>
  <si>
    <t>https://qualcomm.eightfold.ai/careers/job/446721143274</t>
  </si>
  <si>
    <t>TRC Companies</t>
  </si>
  <si>
    <t>https://careers.trccompanies.com/jobs/26840?icims=1</t>
  </si>
  <si>
    <t>Tower Research Capital</t>
  </si>
  <si>
    <t>Software Developer Intern</t>
  </si>
  <si>
    <t>Sep 17, 2026</t>
  </si>
  <si>
    <t>https://www.tower-research.com/open-positions/?gh_jid=8212179</t>
  </si>
  <si>
    <t>MSIP Design Methodology Engineering Internship</t>
  </si>
  <si>
    <t>https://qualcomm.eightfold.ai/careers/job/446721140936</t>
  </si>
  <si>
    <t>Firmware/Embedded Software Engineering Internship</t>
  </si>
  <si>
    <t>https://qualcomm.eightfold.ai/careers/job/446721141411</t>
  </si>
  <si>
    <t>Physical Mixed Layout Engineering Internship</t>
  </si>
  <si>
    <t>https://qualcomm.eightfold.ai/careers/job/446721142985</t>
  </si>
  <si>
    <t>Analog Design Intern</t>
  </si>
  <si>
    <t>https://qualcomm.eightfold.ai/careers/job/446721140914</t>
  </si>
  <si>
    <t>4AG Robotics</t>
  </si>
  <si>
    <t>AI Co-op Student</t>
  </si>
  <si>
    <t>Salmon Arm, BC</t>
  </si>
  <si>
    <t>https://ats.rippling.com/4ag/jobs/921801f5-ae83-4a49-a234-221a87d94fe7</t>
  </si>
  <si>
    <t>Robotics Software Co-op</t>
  </si>
  <si>
    <t>https://ats.rippling.com/4ag/jobs/71d97d10-87f2-4f53-88b7-97f27f392d24</t>
  </si>
  <si>
    <t>Alayacare</t>
  </si>
  <si>
    <t>Fullstack Developer Intern</t>
  </si>
  <si>
    <t>https://alayacare.com/open-positions?gh_jid=8811336002</t>
  </si>
  <si>
    <t>Apera AI</t>
  </si>
  <si>
    <t>Software Developer Co-op, Full Stack</t>
  </si>
  <si>
    <t>Sep 16, 2026</t>
  </si>
  <si>
    <t>https://job-boards.greenhouse.io/aperaaiinc/jobs/5240259007</t>
  </si>
  <si>
    <t>Software Developer Co-op, C++</t>
  </si>
  <si>
    <t>https://job-boards.greenhouse.io/aperaaiinc/jobs/5239394007</t>
  </si>
  <si>
    <t>Machine Learning Applied Scientist Co-op</t>
  </si>
  <si>
    <t>https://job-boards.greenhouse.io/aperaaiinc/jobs/5239440007</t>
  </si>
  <si>
    <t>Sensors Subsystem Engineering Intern, Low-Power AI, Audio</t>
  </si>
  <si>
    <t>Sep 15, 2026</t>
  </si>
  <si>
    <t>https://qualcomm.eightfold.ai/careers/job/446721109229</t>
  </si>
  <si>
    <t>Sensors Subsystem Engineering Intern</t>
  </si>
  <si>
    <t>https://qualcomm.eightfold.ai/careers/job/446721109168</t>
  </si>
  <si>
    <t>Equitable Bank</t>
  </si>
  <si>
    <t>Credit Risk Intern</t>
  </si>
  <si>
    <t>https://jobs.lever.co/eqbank/de711d74-f78a-4cdd-a4a1-fdaa6e6602c3/</t>
  </si>
  <si>
    <t>Data Scientist Intern</t>
  </si>
  <si>
    <t>https://jobs.lever.co/eqbank/b152bad3-df48-4049-9d44-ba7e57ea6499/</t>
  </si>
  <si>
    <t>Incubation Developer Student Intern</t>
  </si>
  <si>
    <t>https://fa-evmr-saasfaprod1.fa.ocs.oraclecloud.com/hcmUI/CandidateExperience/en/sites/CX_1/job/39968</t>
  </si>
  <si>
    <t>Auto-imported from Canada Tech Internships | Marked unavailable on 10/7/2026</t>
  </si>
  <si>
    <t>FPGA Software Tool Developer Co-op</t>
  </si>
  <si>
    <t>https://jobs.l3harris.com/job/Waterdown-FPGA-Software-Tool-Developer-Co-Op-(Waterdown,-CAN</t>
  </si>
  <si>
    <t>Full Stack Developer Co-op</t>
  </si>
  <si>
    <t>https://jobs.l3harris.com/job/Niagara-on-the-Lake-Full-Stack-Developer-Co-op-1-ON/1430141300/?ats=successfactors</t>
  </si>
  <si>
    <t>FPGA Designer Co-op</t>
  </si>
  <si>
    <t>Hamilton, ON</t>
  </si>
  <si>
    <t>https://jobs.l3harris.com/job/Waterdown-FPGA-Designer-Coop-(Waterdown,-CAN</t>
  </si>
  <si>
    <t>Hardware Engineer Co-op Intern, IP Routing</t>
  </si>
  <si>
    <t>https://fa-evmr-saasfaprod1.fa.ocs.oraclecloud.com/hcmUI/CandidateExperience/en/sites/CX_1/job/39600</t>
  </si>
  <si>
    <t>Nexthop.ai</t>
  </si>
  <si>
    <t>Burnaby, BC</t>
  </si>
  <si>
    <t>https://nexthopai.bamboohr.com/careers/64/</t>
  </si>
  <si>
    <t>DoorDash</t>
  </si>
  <si>
    <t>https://job-boards.greenhouse.io/doordashcanada/jobs/8170944</t>
  </si>
  <si>
    <t>Superhuman</t>
  </si>
  <si>
    <t>https://jobs.ashbyhq.com/Superhuman%20Platform%20Inc/5f1f25ee-709d-4ae0-ada4-d1f243bde89c/</t>
  </si>
  <si>
    <t>Technology Solutions Co-op Intern, Data Platform &amp; Engineering</t>
  </si>
  <si>
    <t>https://hdks.fa.ca2.oraclecloud.com/hcmUI/CandidateExperience/en/sites/CX_1/job/9324</t>
  </si>
  <si>
    <t>https://apply.careers.microsoft.com/careers/job/1970393556991773?hl=en</t>
  </si>
  <si>
    <t>Student Researcher, BS/MS</t>
  </si>
  <si>
    <t>Sep 14, 2026</t>
  </si>
  <si>
    <t>https://www.google.com/about/careers/applications/jobs/results/104405499448828614</t>
  </si>
  <si>
    <t>Student Researcher, PhD</t>
  </si>
  <si>
    <t>Toronto, ON / Waterloo, ON</t>
  </si>
  <si>
    <t>https://www.google.com/about/careers/applications/jobs/results/75043041429070534</t>
  </si>
  <si>
    <t>Commercial Lending AI Engineer Intern</t>
  </si>
  <si>
    <t>https://jobs.lever.co/eqbank/54045eae-334a-4486-8e97-96e49e6a1487/</t>
  </si>
  <si>
    <t>Retail Lending AI Engineer Intern</t>
  </si>
  <si>
    <t>https://jobs.lever.co/eqbank/1c46930a-7ffe-4760-9d31-e08ea191ddea/</t>
  </si>
  <si>
    <t>Technology Business Administration Co-op Intern</t>
  </si>
  <si>
    <t>https://hdks.fa.ca2.oraclecloud.com/hcmUI/CandidateExperience/en/sites/CX_1/job/9345</t>
  </si>
  <si>
    <t>Robinhood</t>
  </si>
  <si>
    <t>Software Developer Intern, Backend</t>
  </si>
  <si>
    <t>https://boards.greenhouse.io/robinhood/jobs/8142930</t>
  </si>
  <si>
    <t>Software Developer Intern, Web</t>
  </si>
  <si>
    <t>https://boards.greenhouse.io/robinhood/jobs/8199744</t>
  </si>
  <si>
    <t>Software Developer Intern/Co-op, Backend</t>
  </si>
  <si>
    <t>https://boards.greenhouse.io/robinhood/jobs/8194428</t>
  </si>
  <si>
    <t>Software Developer Intern, IOS</t>
  </si>
  <si>
    <t>https://boards.greenhouse.io/robinhood/jobs/8199729</t>
  </si>
  <si>
    <t>Software Engineering Intern, Optical Transport and IP Networking</t>
  </si>
  <si>
    <t>https://ciena.wd5.myworkdayjobs.com/Careers/job/Ottawa/Software-Engineering--Optical-Transport-and-IP-Networking-Intern_R031631</t>
  </si>
  <si>
    <t>Machine Learning Compiler &amp; Performance Engineering Intern</t>
  </si>
  <si>
    <t>Sep 11, 2026</t>
  </si>
  <si>
    <t>https://qualcomm.eightfold.ai/careers/job/446721064018</t>
  </si>
  <si>
    <t>Dialogue</t>
  </si>
  <si>
    <t>Full Stack Developer Intern</t>
  </si>
  <si>
    <t>https://ats.rippling.com/dialogue-en/jobs/3c2341d5-604d-463c-8b79-5d1669d81e78</t>
  </si>
  <si>
    <t>Cozey</t>
  </si>
  <si>
    <t>Data Science Intern</t>
  </si>
  <si>
    <t>Mount-Royal, QC</t>
  </si>
  <si>
    <t>https://ats.rippling.com/cozey-internships/jobs/1e50d436-06c1-447c-b676-5e487b19433c</t>
  </si>
  <si>
    <t>https://ats.rippling.com/cozey-internships/jobs/b1f3e185-e5d7-4baf-b67f-10f8703b130a</t>
  </si>
  <si>
    <t>Machine Learning Systems Software Development Engineer Intern, Annapurna Labs</t>
  </si>
  <si>
    <t>https://amazon.jobs/en/jobs/10538066/ml-systems-software-development-engineer-intern-annapurna-labs-2027</t>
  </si>
  <si>
    <t>Optical Test Intern Co-op</t>
  </si>
  <si>
    <t>https://fa-evmr-saasfaprod1.fa.ocs.oraclecloud.com/hcmUI/CandidateExperience/en/sites/CX_1/job/39964</t>
  </si>
  <si>
    <t>Data Scientist Co-op/Intern</t>
  </si>
  <si>
    <t>https://fa-evmr-saasfaprod1.fa.ocs.oraclecloud.com/hcmUI/CandidateExperience/en/sites/CX_1/job/39965</t>
  </si>
  <si>
    <t>Lyft</t>
  </si>
  <si>
    <t>Software Engineer Intern, Backend</t>
  </si>
  <si>
    <t>https://app.careerpuck.com/job-board/lyft/job/8796054002?gh_jid=8796054002</t>
  </si>
  <si>
    <t>Software Engineer Intern, Machine Learning</t>
  </si>
  <si>
    <t>https://app.careerpuck.com/job-board/lyft/job/8802332002?gh_jid=8802332002</t>
  </si>
  <si>
    <t>https://app.careerpuck.com/job-board/lyft/job/8767710002?gh_jid=8767710002</t>
  </si>
  <si>
    <t>Software Engineer Intern, Fullstack</t>
  </si>
  <si>
    <t>https://app.careerpuck.com/job-board/lyft/job/8797859002?gh_jid=8797859002</t>
  </si>
  <si>
    <t>Data Engineer Intern</t>
  </si>
  <si>
    <t>https://app.careerpuck.com/job-board/lyft/job/8797376002?gh_jid=8797376002</t>
  </si>
  <si>
    <t>Data Science Intern, Algorithms</t>
  </si>
  <si>
    <t>https://app.careerpuck.com/job-board/lyft/job/8767697002?gh_jid=8767697002</t>
  </si>
  <si>
    <t>https://app.careerpuck.com/job-board/lyft/job/8796052002?gh_jid=8796052002</t>
  </si>
  <si>
    <t>Armstrong Fluid Technology</t>
  </si>
  <si>
    <t>Test Engineering Co-op</t>
  </si>
  <si>
    <t>https://armstrongfluidtechnology.bamboohr.com/careers/1001/</t>
  </si>
  <si>
    <t>Intern Developer, Clients, Front End Technologies</t>
  </si>
  <si>
    <t>https://careers-kinaxis.icims.com/jobs/35320/job?mobile=true&amp;needsRedirect=false</t>
  </si>
  <si>
    <t>Commercial Insurance Product Owner Co-op Intern</t>
  </si>
  <si>
    <t>Waterloo, ON</t>
  </si>
  <si>
    <t>https://hdks.fa.ca2.oraclecloud.com/hcmUI/CandidateExperience/en/sites/CX_1/job/9354</t>
  </si>
  <si>
    <t>Business Intelligence Co-op</t>
  </si>
  <si>
    <t>https://hdks.fa.ca2.oraclecloud.com/hcmUI/CandidateExperience/en/sites/CX_1/job/9351</t>
  </si>
  <si>
    <t>Commercial Insurance Portfolio Analyst Co-op Intern</t>
  </si>
  <si>
    <t>https://hdks.fa.ca2.oraclecloud.com/hcmUI/CandidateExperience/en/sites/CX_1/job/9349</t>
  </si>
  <si>
    <t>Analyst Co-op Intern, Consumer Insights &amp; Market Research</t>
  </si>
  <si>
    <t>https://hdks.fa.ca2.oraclecloud.com/hcmUI/CandidateExperience/en/sites/CX_1/job/9344</t>
  </si>
  <si>
    <t>Geotab</t>
  </si>
  <si>
    <t>Embedded Developer Intern - Engine Data Reliability</t>
  </si>
  <si>
    <t>Oakville, ON</t>
  </si>
  <si>
    <t>Sep 10, 2026</t>
  </si>
  <si>
    <t>https://job-boards.greenhouse.io/internshiplist2000/jobs/5396891008</t>
  </si>
  <si>
    <t>Software Development Intern</t>
  </si>
  <si>
    <t>Sep 9, 2026</t>
  </si>
  <si>
    <t>GIS Data Analyst Intern</t>
  </si>
  <si>
    <t>https://pomerleau.avature.net/en_US/Jobs/JobDetail/3695</t>
  </si>
  <si>
    <t>D2L</t>
  </si>
  <si>
    <t>Business Insights &amp; Analytics Co-op</t>
  </si>
  <si>
    <t>https://www.d2l.com/careers/jobs/?job_id=8188363&amp;gh_jid=8188363</t>
  </si>
  <si>
    <t>Software Developer Co-op</t>
  </si>
  <si>
    <t>https://www.d2l.com/careers/jobs/?job_id=8174229&amp;gh_jid=8174229</t>
  </si>
  <si>
    <t>GoMaterials</t>
  </si>
  <si>
    <t>Data Quality Intern</t>
  </si>
  <si>
    <t>https://jobs.lever.co/gomaterials/be3fb0e8-54a1-43de-b998-99dd071eed19/</t>
  </si>
  <si>
    <t>Hexagon AB</t>
  </si>
  <si>
    <t>Digital Hardware Engineer Intern</t>
  </si>
  <si>
    <t>https://careers-hexagonpositioning.icims.com/jobs/3090/job?mobile=true&amp;needsRedirect=false</t>
  </si>
  <si>
    <t>Pomerleau</t>
  </si>
  <si>
    <t>AI Product Analyst Intern</t>
  </si>
  <si>
    <t>https://pomerleau.avature.net/en_US/Jobs/JobDetail/3620</t>
  </si>
  <si>
    <t>Developer Intern, AI Solutions</t>
  </si>
  <si>
    <t>https://careers-kinaxis.icims.com/jobs/35343/job?mobile=true&amp;needsRedirect=false</t>
  </si>
  <si>
    <t>Zaber Technologies</t>
  </si>
  <si>
    <t>Sep 8, 2026</t>
  </si>
  <si>
    <t>https://apply.workable.com/zaber/j/EAB5877DC3/</t>
  </si>
  <si>
    <t>Embedded Software Co-op</t>
  </si>
  <si>
    <t>https://apply.workable.com/zaber/j/1F627CC2BB/</t>
  </si>
  <si>
    <t>Rivian and Volkswagen Group Technologies</t>
  </si>
  <si>
    <t>Software Engineering Intern, Vehicle Controls</t>
  </si>
  <si>
    <t>https://jobs.ashbyhq.com/rivianvw.tech/e00c49b7-44c1-4f0c-af3c-2c7a7402185b/</t>
  </si>
  <si>
    <t>Bree</t>
  </si>
  <si>
    <t>Software Engineer Co-op, Product</t>
  </si>
  <si>
    <t>Sep 4, 2026</t>
  </si>
  <si>
    <t>http://jobs.ashbyhq.com/bree/17d8dd15-5f97-4003-8d6c-170dca13ff88/application?embed=true</t>
  </si>
  <si>
    <t>Software Engineer Co-op, Backend</t>
  </si>
  <si>
    <t>http://jobs.ashbyhq.com/bree/42fe78c1-e73f-4918-bf71-776b8142112b/application?embed=true</t>
  </si>
  <si>
    <t>General Dynamics UK</t>
  </si>
  <si>
    <t>Systems Engineering Co-op</t>
  </si>
  <si>
    <t>https://jobs.smartrecruiters.com/GDMSI/744000147549219</t>
  </si>
  <si>
    <t>Software Engineering Co-op</t>
  </si>
  <si>
    <t>Cole Harbour, NS</t>
  </si>
  <si>
    <t>https://jobs.smartrecruiters.com/GDMSI/744000147583700</t>
  </si>
  <si>
    <t>https://jobs.smartrecruiters.com/GDMSI/744000147537709</t>
  </si>
  <si>
    <t>Software Developer Intern, Mygeotab</t>
  </si>
  <si>
    <t>Toronto, ON / Waterloo, ON / Oakville, ON</t>
  </si>
  <si>
    <t>https://job-boards.greenhouse.io/internshiplist2000/jobs/5383412008</t>
  </si>
  <si>
    <t>https://jobs.smartrecruiters.com/GDMSI/744000147511629</t>
  </si>
  <si>
    <t>Mobile Domain System Engineering Co-op</t>
  </si>
  <si>
    <t>https://jobs.smartrecruiters.com/GDMSI/744000147552960</t>
  </si>
  <si>
    <t>Toronto, ON / Oakville, ON / Waterloo, ON</t>
  </si>
  <si>
    <t>Sep 3, 2026</t>
  </si>
  <si>
    <t>https://job-boards.greenhouse.io/internshiplist2000/jobs/5376578008</t>
  </si>
  <si>
    <t>Hardware Design Verification Engineer Intern/Co-op</t>
  </si>
  <si>
    <t>https://careers.amd.com/jobs/91361?icims=1</t>
  </si>
  <si>
    <t>North American Construction Group</t>
  </si>
  <si>
    <t>Acheson, AB</t>
  </si>
  <si>
    <t>https://careers-nacg.icims.com/jobs/17153/job?mobile=true&amp;needsRedirect=false</t>
  </si>
  <si>
    <t>AltaML</t>
  </si>
  <si>
    <t>Associate Software Engineer</t>
  </si>
  <si>
    <t>Edmonton, AB</t>
  </si>
  <si>
    <t>https://jobs.lever.co/altaml/bd8167f5-e84c-48b1-9cad-2831bf71dea1/</t>
  </si>
  <si>
    <t>DSP Firmware Engineer Co-op/Intern</t>
  </si>
  <si>
    <t>https://fa-evmr-saasfaprod1.fa.ocs.oraclecloud.com/hcmUI/CandidateExperience/en/sites/CX_1/job/39237</t>
  </si>
  <si>
    <t>Québec City, QC</t>
  </si>
  <si>
    <t>https://jobs.lever.co/mirego/b5d63a2b-c4b6-4a14-9e2a-bb8a23ed92b1/</t>
  </si>
  <si>
    <t>AMD</t>
  </si>
  <si>
    <t>ASIC Verification Engineer Intern/Co-op</t>
  </si>
  <si>
    <t>https://careers.amd.com/jobs/91207?icims=1</t>
  </si>
  <si>
    <t>https://jobs.smartrecruiters.com/GDMSI/744000147019949</t>
  </si>
  <si>
    <t>Atlassian</t>
  </si>
  <si>
    <t>Burnaby, BC / Vancouver, BC / Richmond, BC</t>
  </si>
  <si>
    <t>https://campus-globalcareers-atlassian.icims.com/jobs/26275/software-engineer-intern%2c-2027-canada/job</t>
  </si>
  <si>
    <t>Sep 2, 2026</t>
  </si>
  <si>
    <t>https://jobs.smartrecruiters.com/GDMSI/744000146985399</t>
  </si>
  <si>
    <t>Product Coordinator Intern, Driver Compliance</t>
  </si>
  <si>
    <t>https://job-boards.greenhouse.io/internshiplist2000/jobs/5360844008</t>
  </si>
  <si>
    <t>Remarcable</t>
  </si>
  <si>
    <t>https://jobs.ashbyhq.com/remarcable-inc/a4f3aaaa-9469-42e8-a610-450d25eb5da7/</t>
  </si>
  <si>
    <t>Sep 1, 2026</t>
  </si>
  <si>
    <t>https://careers.amd.com/jobs/90379?icims=1</t>
  </si>
  <si>
    <t>Firmware Engineer Intern/Co-op</t>
  </si>
  <si>
    <t>https://careers.amd.com/jobs/91320?icims=1</t>
  </si>
  <si>
    <t>Hardware Design Engineer Intern/Co-op</t>
  </si>
  <si>
    <t>https://careers.amd.com/jobs/91360?icims=1</t>
  </si>
  <si>
    <t>Graphics Software Engineer Intern/Co-op</t>
  </si>
  <si>
    <t>https://careers.amd.com/jobs/90305?icims=1</t>
  </si>
  <si>
    <t>Firmware Engineer Intern/Co-op - Long Term</t>
  </si>
  <si>
    <t>https://careers.amd.com/jobs/90297?icims=1</t>
  </si>
  <si>
    <t>Analog and Mixed Signal Engineer Intern/Co-op</t>
  </si>
  <si>
    <t>https://careers.amd.com/jobs/91369?icims=1</t>
  </si>
  <si>
    <t>Product Management Intern/Co-op - Multiple Teams</t>
  </si>
  <si>
    <t>https://careers.amd.com/jobs/90411?icims=1</t>
  </si>
  <si>
    <t>Diagnostics Design Engineer Intern/Co-op</t>
  </si>
  <si>
    <t>https://careers.amd.com/jobs/90435?icims=1</t>
  </si>
  <si>
    <t>Software Engineer Intern/Co-op</t>
  </si>
  <si>
    <t>https://careers.amd.com/jobs/91367?icims=1</t>
  </si>
  <si>
    <t>AGS Libraries Intern/Co-op</t>
  </si>
  <si>
    <t>https://careers.amd.com/jobs/90427?icims=1</t>
  </si>
  <si>
    <t>Machine Learning/Artificial Intelligence Intern/Co-op</t>
  </si>
  <si>
    <t>https://careers.amd.com/jobs/91363?icims=1</t>
  </si>
  <si>
    <t>https://stripe.com/jobs/search?gh_jid=8130805</t>
  </si>
  <si>
    <t>Trane Technologies</t>
  </si>
  <si>
    <t>BrainBox AI Intern</t>
  </si>
  <si>
    <t>https://careers.tranetechnologies.com/global/en/job/JR-7608/2027-BrainBox-AI-Intern</t>
  </si>
  <si>
    <t>AMI</t>
  </si>
  <si>
    <t>Computer Vision Scientist Intern, Geometry and 3D Vision</t>
  </si>
  <si>
    <t>Aug 27, 2026</t>
  </si>
  <si>
    <t>https://jobs.ashbyhq.com/ami/0d7332d8-b8e7-40d3-89b6-dfc02b40bfa2/</t>
  </si>
  <si>
    <t>Investment Management Intern, Canadian Equities</t>
  </si>
  <si>
    <t>Winnipeg, MB</t>
  </si>
  <si>
    <t>Aug 26, 2026</t>
  </si>
  <si>
    <t>https://careersen-mackenzieinvestments.icims.com/jobs/5993/job?mobile=true&amp;needsRedirect=false</t>
  </si>
  <si>
    <t>Zip</t>
  </si>
  <si>
    <t>Aug 25, 2026</t>
  </si>
  <si>
    <t>https://jobs.ashbyhq.com/zip/2bc7327b-1c06-418a-beeb-bec1dd70480e/</t>
  </si>
  <si>
    <t>Goldman Sachs</t>
  </si>
  <si>
    <t>Summer Analyst, Engineering</t>
  </si>
  <si>
    <t>Aug 20, 2026</t>
  </si>
  <si>
    <t>https://higher.gs.com/roles/171567</t>
  </si>
  <si>
    <t>Kepler Communications</t>
  </si>
  <si>
    <t>Embedded Software Engineer Intern (Winter 2027)</t>
  </si>
  <si>
    <t>Aug 19, 2026</t>
  </si>
  <si>
    <t>https://jobs.lever.co/kepler/2ad02ce3-1d56-4aee-9f1d-5199c780c0c1/</t>
  </si>
  <si>
    <t>Thomson Reuters</t>
  </si>
  <si>
    <t>Applied Research Intern, NLP/ML/GenAI</t>
  </si>
  <si>
    <t>Aug 17, 2026</t>
  </si>
  <si>
    <t>https://thomsonreuters.wd5.myworkdayjobs.com/en-US/External_Career_Site/job/Canada-Toronto-Ontario/Applied-Research-Intern--NLP-ML-GenAI-_JREQ202812</t>
  </si>
  <si>
    <t>Analysis Group</t>
  </si>
  <si>
    <t>Research Professional Intern, Generalist (Summer 2027)</t>
  </si>
  <si>
    <t>Aug 14, 2026</t>
  </si>
  <si>
    <t>https://analystcareers-analysisgroup.icims.com/jobs/3007/job?mobile=true&amp;needsRedirect=false</t>
  </si>
  <si>
    <t>Georgian Partners Growth</t>
  </si>
  <si>
    <t>AI/ML Engineer Intern</t>
  </si>
  <si>
    <t>Jul 21, 2026</t>
  </si>
  <si>
    <t>https://jobs.ashbyhq.com/georgian/2ae71a4b-dd9d-4068-8ef2-81351ee74cab/</t>
  </si>
  <si>
    <t>Firmware Engineer InternCo-op</t>
  </si>
  <si>
    <t>https://careers.amd.com/jobs/90301?icims=1</t>
  </si>
  <si>
    <t>Source: Canada Tech Internships</t>
  </si>
  <si>
    <t>Hardware Design Engineer InternCo-op</t>
  </si>
  <si>
    <t>https://careers.amd.com/jobs/90367?icims=1</t>
  </si>
  <si>
    <t>Hardware Design Verification Engineer InternCo-op</t>
  </si>
  <si>
    <t>https://careers.amd.com/jobs/91362?icims=1</t>
  </si>
  <si>
    <t>Software Engineer InternCo-op</t>
  </si>
  <si>
    <t>https://careers.amd.com/jobs/91368?icims=1</t>
  </si>
  <si>
    <t>Source: Canada Tech Internships | Marked unavailable on 10/7/2026</t>
  </si>
  <si>
    <t>Machine LearningArtificial Intelligence InternCo-op</t>
  </si>
  <si>
    <t>https://careers.amd.com/jobs/90383?icims=1</t>
  </si>
  <si>
    <t>Graphics Software Engineer InternCo-op</t>
  </si>
  <si>
    <t>https://careers.amd.com/jobs/91359?icims=1</t>
  </si>
  <si>
    <t>Data Analyst Co-op, Personal Banking (Winter 2027)</t>
  </si>
  <si>
    <t>Oct 5, 2026</t>
  </si>
  <si>
    <t>https://rbc.wd3.myworkdayjobs.com/ExternalPrivatePostingStudents/job/TORONTO-Ontario-Canada/Winter-2027-Co-op-Student---Data-Analyst--Personal-Banking---8-months-_R-0000189535</t>
  </si>
  <si>
    <t>Marvell</t>
  </si>
  <si>
    <t>Firmware Engineer Intern (Winter 2027)</t>
  </si>
  <si>
    <t>https://marvell.wd1.myworkdayjobs.com/MarvellCareers/job/Ottawa-Canada/Firmware-Engineer-Intern---Winter-2027_2604738</t>
  </si>
  <si>
    <t>Manulife Financial</t>
  </si>
  <si>
    <t>Technology Enablement Analyst Co-op (Winter 2027)</t>
  </si>
  <si>
    <t>https://manulife.wd3.myworkdayjobs.com/en-US/MFCJH_Jobs/job/Toronto-Ontario/Winter-Co-op-2027---Technology-Enablement-Analyst_JR26090774</t>
  </si>
  <si>
    <t>Altera</t>
  </si>
  <si>
    <t>High Level Synthesis Engineer Intern</t>
  </si>
  <si>
    <t>https://altera.wd1.myworkdayjobs.com/altera/job/Toronto-Ontario-Canada/High-Level-Synthesis-Engineer---Intern_R03254</t>
  </si>
  <si>
    <t>Firmware Engineer Intern Co-op</t>
  </si>
  <si>
    <t>https://marvell.wd1.myworkdayjobs.com/MarvellCareers/job/Toronto-Canada/Firmware-Engineer-Intern---BS-MS---2027-Co-Op_2604959</t>
  </si>
  <si>
    <t>GPU &amp; AI Accelerator Hardware Design Undergraduate Intern</t>
  </si>
  <si>
    <t>https://intel.wd1.myworkdayjobs.com/en-us/external/job/Canada-Toronto/GPU---AI-Accelerator-Hardware-Design-Undergraduate-Intern_JR0287539</t>
  </si>
  <si>
    <t>IC Validation Engineer Intern Co-op, BSMS</t>
  </si>
  <si>
    <t>https://marvell.wd1.myworkdayjobs.com/MarvellCareers/job/Ottawa-Canada/IC-Validation-Engineer-Intern---BS-MS---2027-Co-Op_2603925</t>
  </si>
  <si>
    <t>ALM Data Management &amp; Analytics Co-op (Winter 2027)</t>
  </si>
  <si>
    <t>https://manulife.wd3.myworkdayjobs.com/en-US/MFCJH_Jobs/job/Toronto-Ontario/Winter-Co-op-2027---ALM-Data-Management---Analytics_JR26091831</t>
  </si>
  <si>
    <t>The Home Depot</t>
  </si>
  <si>
    <t>AI Machine Learning Developer Intern (Winter 2027)</t>
  </si>
  <si>
    <t>https://homedepot.wd5.myworkdayjobs.com/CareerDepotCanada/job/CANADA-STORE-SUPPORT-CENTER---7000/Intern--AI-Machine-Learning-Developer_Req195010</t>
  </si>
  <si>
    <t>Full Stack Software Developer Intern (Winter 2027)</t>
  </si>
  <si>
    <t>https://homedepot.wd5.myworkdayjobs.com/CareerDepotCanada/job/CANADA-STORE-SUPPORT-CENTER---7000/Intern--Full-Stack-Software-Developer_Req195012</t>
  </si>
  <si>
    <t>Software Developer 1 InternCo-op (Winter 2027)</t>
  </si>
  <si>
    <t>St. John's, NL</t>
  </si>
  <si>
    <t>Sep 29, 2026</t>
  </si>
  <si>
    <t>https://intactfc.wd3.myworkdayjobs.com/en-US/intactfc/job/St-Johns-Newfoundland-and-Labrador-CAN/Software-Developer-I---4-months-internship--Co-op--Winter-2027-_R155972</t>
  </si>
  <si>
    <t>Hardware Design and Verification Intern, PCBA (Winter 2027)</t>
  </si>
  <si>
    <t>https://ciena.wd5.myworkdayjobs.com/Careers/job/Ottawa/Hardware--PCBA--Design-and-Verification-Intern--Winter-2027---4-Months-_R031787</t>
  </si>
  <si>
    <t>AI and Data Analytics and Reporting Analyst Co-op</t>
  </si>
  <si>
    <t>https://cibc.wd3.myworkdayjobs.com/campus/job/Toronto-ON/AI---Data-Analytics-and-Reporting-Analyst-Co-op_2619748</t>
  </si>
  <si>
    <t>Semtech</t>
  </si>
  <si>
    <t>Firmware Design Intern (Summer 2027)</t>
  </si>
  <si>
    <t>https://semtech.wd1.myworkdayjobs.com/SemtechCareers/job/CAN---Ottawa-ON/Firmware-Design-Intern_REQ3617</t>
  </si>
  <si>
    <t>Applications Engineering Intern</t>
  </si>
  <si>
    <t>Burlington, ON</t>
  </si>
  <si>
    <t>https://semtech.wd1.myworkdayjobs.com/SemtechCareers/job/CAN---Burlington-ON/Applications-Engineering-Intern_REQ3616</t>
  </si>
  <si>
    <t>Validation Engineering Intern (Summer 2027)</t>
  </si>
  <si>
    <t>https://semtech.wd1.myworkdayjobs.com/SemtechCareers/job/CAN---Ottawa-ON/Validation-Engineering-Intern_REQ3618</t>
  </si>
  <si>
    <t>Applications Engineer Intern</t>
  </si>
  <si>
    <t>https://semtech.wd1.myworkdayjobs.com/SemtechCareers/job/CAN---Burlington-ON/Applications-Engineering-Intern_REQ3615</t>
  </si>
  <si>
    <t>Analog Design Intern, BS, 2027 Co-op</t>
  </si>
  <si>
    <t>https://marvell.wd1.myworkdayjobs.com/MarvellCareers/job/Analog-Design-Intern---BS---2027-Co-Op_2604788</t>
  </si>
  <si>
    <t>Analog Design Intern, Masters, 2027 Co-op</t>
  </si>
  <si>
    <t>https://marvell.wd1.myworkdayjobs.com/MarvellCareers/job/Toronto-Canada/Analog-Design-Intern--Master-s---2027-Co-Op_2603862</t>
  </si>
  <si>
    <t>Analog and Mixed Signal Layout Engineer Intern, 2027 Co-Op</t>
  </si>
  <si>
    <t>https://marvell.wd1.myworkdayjobs.com/MarvellCareers/job/Toronto-Canada/AMS-Layout-Engineer-Intern---BS---2027-Co-Op_2604790</t>
  </si>
  <si>
    <t>Quantum Technologies Intern (Winter 2027)</t>
  </si>
  <si>
    <t>https://rbc.wd3.myworkdayjobs.com/RBCEARLYTALENT1/job/TORONTO-Ontario-Canada/XMLNAME-2027-Winter-Student-Opportunities-Technology---Operations---Quantum-Computing-Specialist--8-Months_R-0000188860-1</t>
  </si>
  <si>
    <t>Data Center Silicon Hardware Engineering Intern Co-op</t>
  </si>
  <si>
    <t>Toronto, ON / Ottawa, ON</t>
  </si>
  <si>
    <t>https://marvell.wd1.myworkdayjobs.com/MarvellCareers/job/Ottawa-Canada/Data-Center-Silicon-Hardware-Engineering-Intern---BS---2027-Co-Op_2604525</t>
  </si>
  <si>
    <t>Entrust</t>
  </si>
  <si>
    <t>Software Development Intern (Winter 2027)</t>
  </si>
  <si>
    <t>https://entrust.wd1.myworkdayjobs.com/entrustcareers/job/Canada---Ottawa/Intern--Software-Development---Hybrid-in-Ottawa_R004360</t>
  </si>
  <si>
    <t>Android Developer Intern Co-op (Winter 2027)</t>
  </si>
  <si>
    <t>https://intactfc.wd3.myworkdayjobs.com/en-US/intactfc/job/Montral-Quebec-CAN/Android-Developer--4-months-Internship-Coop--Winter-2027---_R155691</t>
  </si>
  <si>
    <t>Teledyne</t>
  </si>
  <si>
    <t>Industrialization and Statistical Analysis Intern</t>
  </si>
  <si>
    <t>Bromont, QC</t>
  </si>
  <si>
    <t>https://flir.wd1.myworkdayjobs.com/flircareers/job/Canada---Bromont-QC-TDY/Stagiaire-en-industrialisation-et-analyse-statistique_REQ36708</t>
  </si>
  <si>
    <t>Firmware Engineer Intern</t>
  </si>
  <si>
    <t>Toronto, ON,</t>
  </si>
  <si>
    <t>https://marvell.wd1.myworkdayjobs.com/MarvellCareers/job/CA-ON---Toronto---TOR/Firmware-Engineer-Intern_2603751</t>
  </si>
  <si>
    <t>Vanderlande Industries</t>
  </si>
  <si>
    <t>https://vanderlande.wd3.myworkdayjobs.com/careers/job/Quebec-Canada/Stage---Dveloppement-logiciel_JR38017</t>
  </si>
  <si>
    <t>C CGF Unreal Developer Intern</t>
  </si>
  <si>
    <t>https://cae.wd3.myworkdayjobs.com/career/job/Montreal-St-Laurent/C-GE-416---Stagiaire-dveloppeur-se--C---CGF-Unreal_123656</t>
  </si>
  <si>
    <t>Business Intelligence Analyst &amp; Developer Intern</t>
  </si>
  <si>
    <t>https://cae.wd3.myworkdayjobs.com/career/job/Montreal-St-Laurent/C-GE-917---Stagaire-en-analyste-et-dveloppeur-en-Intelligence-d-affaires_123723</t>
  </si>
  <si>
    <t>Integration Specialist Defense &amp; Security Intern</t>
  </si>
  <si>
    <t>https://cae.wd3.myworkdayjobs.com/career/job/Montreal-St-Laurent/C-GE-470---Spcialiste-d-intgration-Dfense-et-scurit_120963</t>
  </si>
  <si>
    <t>Software Developer Intern, Content Creation Tools</t>
  </si>
  <si>
    <t>https://cae.wd3.myworkdayjobs.com/career/job/Montreal-St-Laurent/C-GE-017---Stagiaire-dveloppeur-se--de-logiciels_123658</t>
  </si>
  <si>
    <t>Software Developer Intern, Immersive</t>
  </si>
  <si>
    <t>https://cae.wd3.myworkdayjobs.com/career/job/Montreal-St-Laurent/C-GE-112-Stagiaire-dveloppeur-se--logiciel---Environnement-immersif_123653-1</t>
  </si>
  <si>
    <t>Unreal Engine Developer Intern</t>
  </si>
  <si>
    <t>https://cae.wd3.myworkdayjobs.com/career/job/Montreal-St-Laurent/C-GE-900---Dveloppeur-se--Engin-Unreal_123654</t>
  </si>
  <si>
    <t>Software Developer Intern, Software</t>
  </si>
  <si>
    <t>https://cae.wd3.myworkdayjobs.com/career/job/Montreal-St-Laurent/C-GE-950---Dveloppeur-se--logiciel_123688</t>
  </si>
  <si>
    <t>C Backend Developer Intern, Image Generator</t>
  </si>
  <si>
    <t>https://cae.wd3.myworkdayjobs.com/career/job/Montreal-St-Laurent/C-GE-925---Dveloppeur-se--C-----Back-end--_123655</t>
  </si>
  <si>
    <t>Rockwell Automation</t>
  </si>
  <si>
    <t>Robotics Research Co-op, Data Engineering</t>
  </si>
  <si>
    <t>https://rockwellautomation.wd1.myworkdayjobs.com/External-Rockwell-Automation-Early-Careers/job/Waterloo-Ontario-Canada/Co-op--Robotics-Research---Data-Engineering--OTTO-at-Rockwell-Automation-_R26-6871</t>
  </si>
  <si>
    <t>Quartus Compiler Software Intern</t>
  </si>
  <si>
    <t>https://altera.wd1.myworkdayjobs.com/altera/job/Toronto-Ontario-Canada/Quartus-Compiler-Software---Intern_R03108</t>
  </si>
  <si>
    <t>Data Center Silicon Hardware Engineering Intern</t>
  </si>
  <si>
    <t>https://marvell.wd1.myworkdayjobs.com/MarvellCareers2/job/Ottawa-Canada/Data-Center-Silicon-Hardware-Engineering-Intern---Winter-2027_2604525</t>
  </si>
  <si>
    <t>BDO Canada</t>
  </si>
  <si>
    <t>Data &amp; Analytics Co-op Intern</t>
  </si>
  <si>
    <t>Montreal, QC / Toronto, ON / Calgary, AB / Halifax, NS / Vancouver, BC / Oakville, ON / Ottawa, ON</t>
  </si>
  <si>
    <t>https://bdo.wd3.myworkdayjobs.com/BDO/job/Toronto---Bay-St/Co-op-or-Intern--Data---Analytics--January-2027-_JR7061</t>
  </si>
  <si>
    <t>Bank of Montreal</t>
  </si>
  <si>
    <t>Quantitative Developer (Alpha Research Team), GAM</t>
  </si>
  <si>
    <t>https://bmo.wd3.myworkdayjobs.com/Campus/job/Toronto-ON-CAN/Quantitative-Developer--Alpha-Research-Team----GAM--Summer-2027--Co-op-Internship----12-months_R260026715</t>
  </si>
  <si>
    <t>Optical Verification Engineer Intern Co-op</t>
  </si>
  <si>
    <t>https://lumentum.wd5.myworkdayjobs.com/LITE/job/Canada---Ottawa-Bill-Leathem/Optical-Verification-Engineer-Co-op-Intern_20261193</t>
  </si>
  <si>
    <t>Sep 7, 2026</t>
  </si>
  <si>
    <t>https://entrust.wd1.myworkdayjobs.com/entrustcareers/job/Canada---Ottawa/Intern---Software-Developer---8-months-Hybrid-in-Ottawa_R004358</t>
  </si>
  <si>
    <t>Procter &amp; Gamble</t>
  </si>
  <si>
    <t>Digital Technologies InternCo-op</t>
  </si>
  <si>
    <t>https://pg.wd5.myworkdayjobs.com/1000/job/TORONTO-GO/Digital-Technologies-Internship-Co-op---Stage-ou-programme-coopratif-en-en-technologies-digitales_R000158595</t>
  </si>
  <si>
    <t>RTX</t>
  </si>
  <si>
    <t>Data Analyst Intern, Spare Parts Services</t>
  </si>
  <si>
    <t>Longueuil, QC</t>
  </si>
  <si>
    <t>https://globalhr.wd5.myworkdayjobs.com/rec_rtx_ext_gateway/job/CA-QC-LONGUEUIL-J01--1000-Blvd-Marie-Victorin--J01-BLDG/Stage---Hiver-2027---Analyste-de-donnes--Services-de-pices-de-rechange---Internship---Winter-2027---Data-Analyst--Spare-Parts-Services_01872182</t>
  </si>
  <si>
    <t>Development of Performance Indicators and Process and Project Management</t>
  </si>
  <si>
    <t>https://globalhr.wd5.myworkdayjobs.com/rec_rtx_ext_gateway/job/CA-QC-LONGUEUIL-J01--1000-Blvd-Marie-Victorin--J01-BLDG/Stage---Hiver-2027---Dveloppement-d-indicateurs-de-performance-et-gestion-des-processus-et-projets---Internship---Winter-2027--Development-of-Performance-Indicators-and-Process-and-Project-Management_01867284</t>
  </si>
  <si>
    <t>LiDAR Data Analyst Co-op</t>
  </si>
  <si>
    <t>https://flir.wd1.myworkdayjobs.com/flircareers/job/Canada---Concord-ON-TDY/LiDAR-Data-Analyst--Co-op-_REQ36378</t>
  </si>
  <si>
    <t>Data Analyst Intern, Global Sales</t>
  </si>
  <si>
    <t>https://globalhr.wd5.myworkdayjobs.com/rec_rtx_ext_gateway/job/CA-QC-SAINT-HUBERT-H12--7007-Chemin-De-La-Savane--BLDG-H12-TRAINING/Stage---Hiver-2027----Ventes-globales---Internship---Winter-2027----Global-Sales_01869713</t>
  </si>
  <si>
    <t>Marsh</t>
  </si>
  <si>
    <t>Summer Analyst Intern, Data and Analytics</t>
  </si>
  <si>
    <t>https://mmc.wd1.myworkdayjobs.com/en-US/MMC/job/Toronto---Bremner/Oliver-Wyman---Summer-Analyst-2027---Data-and-Analytics--DNA----Toronto_R_363727-1</t>
  </si>
  <si>
    <t>Cloud Developer Intern, Fcap (Winter 2027)</t>
  </si>
  <si>
    <t>Aug 7, 2026</t>
  </si>
  <si>
    <t>https://autodesk.wd1.myworkdayjobs.com/uni/job/Montreal-QC-CAN/Stagiaire-en-Dveloppement-Cloud--Intern-Cloud-Developer---FCAP_26WD100406-1</t>
  </si>
  <si>
    <t>List of companies</t>
  </si>
  <si>
    <t>Name</t>
  </si>
  <si>
    <t>Industry</t>
  </si>
  <si>
    <t>Link</t>
  </si>
  <si>
    <t>Contacts from that company (LI)</t>
  </si>
  <si>
    <t>Accenture</t>
  </si>
  <si>
    <t>AI, Machine Learning</t>
  </si>
  <si>
    <t>Accenture Careers &amp; Job Opportunities</t>
  </si>
  <si>
    <t>Alber Blanc Ltd</t>
  </si>
  <si>
    <t>Alstom Transport Canada</t>
  </si>
  <si>
    <t>Cloud, E-commerce</t>
  </si>
  <si>
    <t>Internships for Students</t>
  </si>
  <si>
    <t>AppDirect</t>
  </si>
  <si>
    <t>Saas</t>
  </si>
  <si>
    <t>AppDirect | Careers</t>
  </si>
  <si>
    <t>Design</t>
  </si>
  <si>
    <t>Careers | Autodesk</t>
  </si>
  <si>
    <t>Game development</t>
  </si>
  <si>
    <t>Careers | Beenox</t>
  </si>
  <si>
    <t>Behavior interactive</t>
  </si>
  <si>
    <t>Jobs &amp; Career Opportunities | Behaviour Montreal</t>
  </si>
  <si>
    <t>Bounce Pay</t>
  </si>
  <si>
    <t>Braynic Inc.</t>
  </si>
  <si>
    <t>Coveo</t>
  </si>
  <si>
    <t>Careers in AI and SaaS - Coveo</t>
  </si>
  <si>
    <t>Dell</t>
  </si>
  <si>
    <t>Computer</t>
  </si>
  <si>
    <t>Internships - Dell Careers</t>
  </si>
  <si>
    <t>Eidos</t>
  </si>
  <si>
    <t>Careers | Eidos-Montréal</t>
  </si>
  <si>
    <t>Electronic Arts Locations - Official EA Site</t>
  </si>
  <si>
    <t>Environnement Routier NRJ</t>
  </si>
  <si>
    <t>ESMIA Consultants</t>
  </si>
  <si>
    <t>Explorance</t>
  </si>
  <si>
    <t>Cybersecurity</t>
  </si>
  <si>
    <t>Careers at Flare | Join a Team Making Cybercrime Irrelevant - Flare</t>
  </si>
  <si>
    <t>Giro</t>
  </si>
  <si>
    <t>Transportation</t>
  </si>
  <si>
    <t>GoDaddy</t>
  </si>
  <si>
    <t>Domain</t>
  </si>
  <si>
    <t>Search Page</t>
  </si>
  <si>
    <t>Cloud, AI</t>
  </si>
  <si>
    <t>Search for your career at Google.</t>
  </si>
  <si>
    <t>Gouvernement du Québec</t>
  </si>
  <si>
    <t>Government</t>
  </si>
  <si>
    <t>Groupe Hypertec</t>
  </si>
  <si>
    <t>Manufacturing</t>
  </si>
  <si>
    <t>Carrières chez Hypertec | Bâtissez l’avenir de la technologie</t>
  </si>
  <si>
    <t>Hopper</t>
  </si>
  <si>
    <t>Travel</t>
  </si>
  <si>
    <t>Book Travel on Mobile | Hopper</t>
  </si>
  <si>
    <t>Technology</t>
  </si>
  <si>
    <t>Indie Asylum</t>
  </si>
  <si>
    <t>Emplois — Indie Asylum</t>
  </si>
  <si>
    <t>Inlibro soluions Inc.</t>
  </si>
  <si>
    <t>Documentation</t>
  </si>
  <si>
    <t>Solutions inLibro inc.</t>
  </si>
  <si>
    <t>Insurance</t>
  </si>
  <si>
    <t>JCMB Technology Inc.</t>
  </si>
  <si>
    <t>Johnson Controls</t>
  </si>
  <si>
    <t>Kort Payments</t>
  </si>
  <si>
    <t>Lightspeed</t>
  </si>
  <si>
    <t>POS &amp; Commerce</t>
  </si>
  <si>
    <t>Careers and Job Opportunities | Work at Lightspeed Commerce</t>
  </si>
  <si>
    <t>MDA</t>
  </si>
  <si>
    <t>Cloud, OS</t>
  </si>
  <si>
    <t>Home | Microsoft Careers</t>
  </si>
  <si>
    <t>Mojang</t>
  </si>
  <si>
    <t>Mojang Careers | Opportunities at Mojang Studios | Minecraft</t>
  </si>
  <si>
    <t>Finance</t>
  </si>
  <si>
    <t>Careers in Finance and Investment Banking | Morgan Stanley</t>
  </si>
  <si>
    <t>Motive (from Electronic Arts)</t>
  </si>
  <si>
    <t>Careers at Motive - EA Official Site</t>
  </si>
  <si>
    <t>National Research Council Canada</t>
  </si>
  <si>
    <t>Search Jobs - Nokia Careers</t>
  </si>
  <si>
    <t>Nvidia</t>
  </si>
  <si>
    <t>Jobs at NVIDIA | NVIDIA Careers</t>
  </si>
  <si>
    <t>Octasic</t>
  </si>
  <si>
    <t>Network</t>
  </si>
  <si>
    <t>(3) Octasic: Overview | LinkedIn</t>
  </si>
  <si>
    <t>Opteo</t>
  </si>
  <si>
    <t>Oracle</t>
  </si>
  <si>
    <t>Search Jobs - Oracle Careers</t>
  </si>
  <si>
    <t>Orange Lion Sports</t>
  </si>
  <si>
    <t>Picton Investments</t>
  </si>
  <si>
    <t>Questrade</t>
  </si>
  <si>
    <t>Questrade | About us | Careers</t>
  </si>
  <si>
    <t>Rocket Lab</t>
  </si>
  <si>
    <t>Rogue Research Inc.</t>
  </si>
  <si>
    <t>Bioscience</t>
  </si>
  <si>
    <t>Careers/Carrières – Rogue Research</t>
  </si>
  <si>
    <t>ERP</t>
  </si>
  <si>
    <t>jobs.sap.com/go/Technology-Jobs-in-Montreal/855401/</t>
  </si>
  <si>
    <t>Shopify</t>
  </si>
  <si>
    <t>E-commerce</t>
  </si>
  <si>
    <t>Careers, Internships, and Jobs at Shopify | Shopify Careers - Shopify</t>
  </si>
  <si>
    <t>Siemens Energy</t>
  </si>
  <si>
    <t>Spark Microsystems</t>
  </si>
  <si>
    <t>Square (from Block)</t>
  </si>
  <si>
    <t>Block - Careers | What do you want to build?</t>
  </si>
  <si>
    <t>SwiftConnect</t>
  </si>
  <si>
    <t>Real estate</t>
  </si>
  <si>
    <t>Home - SwiftConnect</t>
  </si>
  <si>
    <t>Transport Canada</t>
  </si>
  <si>
    <t>Ubisoft</t>
  </si>
  <si>
    <t>https://toronto.ubisoft.com/jobs/</t>
  </si>
  <si>
    <t>Unity</t>
  </si>
  <si>
    <t>Unity Careers</t>
  </si>
  <si>
    <t>Voldex</t>
  </si>
  <si>
    <t>Careers | Voldex</t>
  </si>
  <si>
    <t>Vortex Aquatic Structures International</t>
  </si>
  <si>
    <t>Careers | Vortex</t>
  </si>
  <si>
    <t>Wealthsimple</t>
  </si>
  <si>
    <t>Work with us | Wealthsimple</t>
  </si>
  <si>
    <t>ABB</t>
  </si>
  <si>
    <t>Agnico Eagle</t>
  </si>
  <si>
    <t>Airex Industries</t>
  </si>
  <si>
    <t>Andritz Canada Inc</t>
  </si>
  <si>
    <t>ARCO/Murray</t>
  </si>
  <si>
    <t>Avantage Plus</t>
  </si>
  <si>
    <t>Broccolini Construction inc</t>
  </si>
  <si>
    <t>Camfil Power Systems</t>
  </si>
  <si>
    <t>Job opportunities at Camfil - Camfil</t>
  </si>
  <si>
    <t>Cattron</t>
  </si>
  <si>
    <t>Careers - Cattron</t>
  </si>
  <si>
    <t>Communications Security Establishment Canada (CSE)</t>
  </si>
  <si>
    <t>Damotech inc</t>
  </si>
  <si>
    <t>Jobs | DRW</t>
  </si>
  <si>
    <t>EBC</t>
  </si>
  <si>
    <t>EFEL Experts-conseils inc.</t>
  </si>
  <si>
    <t>Eldorado Gold Québec</t>
  </si>
  <si>
    <t>Elk Valley Resources (EVR)</t>
  </si>
  <si>
    <t>FGF Brands</t>
  </si>
  <si>
    <t>Flatiron Dragados</t>
  </si>
  <si>
    <t>Hewlett Packard Enterprise</t>
  </si>
  <si>
    <t>Engineering &amp; QA jobs at HPE</t>
  </si>
  <si>
    <t>Hitachi Energy Canada Inc.</t>
  </si>
  <si>
    <t>IPCONSUL</t>
  </si>
  <si>
    <t>Keyence Canada</t>
  </si>
  <si>
    <t>KEYENCE CANADA: Careers</t>
  </si>
  <si>
    <t>Kiewit</t>
  </si>
  <si>
    <t>Klohn Crippen Berger</t>
  </si>
  <si>
    <t>Les Services EXP Inc.</t>
  </si>
  <si>
    <t>LIDD</t>
  </si>
  <si>
    <t>Be Part of a World-Class Supply Chain Consulting Company | LIDD</t>
  </si>
  <si>
    <t>Marmen inc</t>
  </si>
  <si>
    <t>Matrox Graphics inc.</t>
  </si>
  <si>
    <t>New tab</t>
  </si>
  <si>
    <t>OPAL-RT</t>
  </si>
  <si>
    <t>Careers | Shape the Future of Engineering with Leading Innovators | OPAL-RT</t>
  </si>
  <si>
    <t>Ordre des ingénieurs du Québec</t>
  </si>
  <si>
    <t>Orica Canada Inc.</t>
  </si>
  <si>
    <t>PCL Construction Inc.</t>
  </si>
  <si>
    <t>Pratt &amp; Whitney Canada</t>
  </si>
  <si>
    <t>Société en Commandite Airbus Canada</t>
  </si>
  <si>
    <t>Sonoco Canada Corporation</t>
  </si>
  <si>
    <t>Stantec Experts-conseils ltée</t>
  </si>
  <si>
    <t>Suncor Energy Inc</t>
  </si>
  <si>
    <t>Synectiq</t>
  </si>
  <si>
    <t>Vale Base Metals</t>
  </si>
  <si>
    <t>VIA RAIL CANADA INC</t>
  </si>
  <si>
    <t>Weidmuller</t>
  </si>
  <si>
    <t>Careers at Weidmüller Canada</t>
  </si>
  <si>
    <t>WSP CANADA</t>
  </si>
  <si>
    <t>ADM Agri Industries Company</t>
  </si>
  <si>
    <t>Artelia Canada Inc.</t>
  </si>
  <si>
    <t>Aviva Canada</t>
  </si>
  <si>
    <t>Brim Financial Inc.</t>
  </si>
  <si>
    <t>Canada Rail O&amp;M</t>
  </si>
  <si>
    <t>Canada Rail O&amp;M L.P.: Posts | LinkedIn</t>
  </si>
  <si>
    <t>Canadian Security Intelligence Service (CSIS) - Service canadien du renseignement de sécurité (SCRS)</t>
  </si>
  <si>
    <t>Available Jobs - Canada.ca</t>
  </si>
  <si>
    <t>Career Opportunities at CGI Canada | CGI.com</t>
  </si>
  <si>
    <t>Cisco Systems Canada Co.</t>
  </si>
  <si>
    <t>Careers at Cisco</t>
  </si>
  <si>
    <t>Citi (Canada)</t>
  </si>
  <si>
    <t>Early Career | Citi Careers</t>
  </si>
  <si>
    <t>Coeur Mining Inc.</t>
  </si>
  <si>
    <t>Coeur Mining, Inc. | Careers - Early Career Opportunities</t>
  </si>
  <si>
    <t>Compagnie des chemins de fer nationaux du Canada (CN) / Canadian National Railway Company (CN)</t>
  </si>
  <si>
    <t>Construction Demathieu &amp; Bard</t>
  </si>
  <si>
    <t>Consultants MTrois Inc. (trading as mthree)</t>
  </si>
  <si>
    <t>Career Opportunities for Graduates &amp; Professionals | mthree</t>
  </si>
  <si>
    <t>Contrôles Laurentide</t>
  </si>
  <si>
    <t>Étudiant.e.s, stages et début de carrière</t>
  </si>
  <si>
    <t>CS Group</t>
  </si>
  <si>
    <t>CS GROUP - Canada: Jobs | LinkedIn</t>
  </si>
  <si>
    <t>dIREKTION 360</t>
  </si>
  <si>
    <t>Discovery Mining</t>
  </si>
  <si>
    <t>DPHV Inc.</t>
  </si>
  <si>
    <t>Egis Canada Ltd.</t>
  </si>
  <si>
    <t>EliseAI</t>
  </si>
  <si>
    <t>FM</t>
  </si>
  <si>
    <t>Future Electronics</t>
  </si>
  <si>
    <t>G Mining Services</t>
  </si>
  <si>
    <t>gbi Experts-Conseils</t>
  </si>
  <si>
    <t>Gouvernement du Canada | Government of Canada</t>
  </si>
  <si>
    <t>Groupe Primero Amériques, Inc.</t>
  </si>
  <si>
    <t>Hatch</t>
  </si>
  <si>
    <t>Software Intern AND Montreal - Hatch Jobs</t>
  </si>
  <si>
    <t>HH Angus</t>
  </si>
  <si>
    <t>Toutes nos offres d’emploi | Hydro-Québec</t>
  </si>
  <si>
    <t>Isaac Operations</t>
  </si>
  <si>
    <t>Janin Atlas / VINCI Construction</t>
  </si>
  <si>
    <t>Jesta I.S.</t>
  </si>
  <si>
    <t>Careers | Jesta I.S.</t>
  </si>
  <si>
    <t>KINROSS GOLD CORPORATION</t>
  </si>
  <si>
    <t>Pliteq</t>
  </si>
  <si>
    <t>Polytechnique Montréal</t>
  </si>
  <si>
    <t>Preston Phipps Inc.</t>
  </si>
  <si>
    <t>Revolut </t>
  </si>
  <si>
    <t>Careers | Revolut United States</t>
  </si>
  <si>
    <t>Rio Tinto</t>
  </si>
  <si>
    <t>Rio Tinto Jobs</t>
  </si>
  <si>
    <t>Roxboro Excavation inc.</t>
  </si>
  <si>
    <t>Royal Canadian Navy</t>
  </si>
  <si>
    <t>SITA CA</t>
  </si>
  <si>
    <t>SITA Careers Apply</t>
  </si>
  <si>
    <t>SLB</t>
  </si>
  <si>
    <t>Jobs | SLB Careers</t>
  </si>
  <si>
    <t>Squarepoint</t>
  </si>
  <si>
    <t>Stathera Inc.</t>
  </si>
  <si>
    <t>Susquehanna International Group</t>
  </si>
  <si>
    <t>Susquehanna Interns + Co-ops</t>
  </si>
  <si>
    <t>Tata Consultancy Services Canada Inc.</t>
  </si>
  <si>
    <t>Opportunities at TCS</t>
  </si>
  <si>
    <t>TCI+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</si>
</sst>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73E4D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3" xfId="0" applyFont="1" applyBorder="1"/>
    <xf numFmtId="0" fontId="3" fillId="0" borderId="0" xfId="1"/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64" fontId="0" fillId="5" borderId="0" xfId="0" applyNumberFormat="1" applyFill="1"/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0" fillId="5" borderId="0" xfId="0" applyFill="1"/>
    <xf numFmtId="0" fontId="5" fillId="6" borderId="0" xfId="0" applyFont="1" applyFill="1"/>
    <xf numFmtId="0" fontId="0" fillId="0" borderId="0" xfId="0" applyAlignment="1">
      <alignment wrapText="1"/>
    </xf>
    <xf numFmtId="0" fontId="6" fillId="11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64" fontId="4" fillId="6" borderId="6" xfId="0" applyNumberFormat="1" applyFont="1" applyFill="1" applyBorder="1" applyAlignment="1">
      <alignment horizontal="center" vertical="center"/>
    </xf>
    <xf numFmtId="164" fontId="5" fillId="6" borderId="0" xfId="0" applyNumberFormat="1" applyFont="1" applyFill="1"/>
    <xf numFmtId="1" fontId="2" fillId="9" borderId="4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0" fillId="0" borderId="0" xfId="0" quotePrefix="1"/>
    <xf numFmtId="0" fontId="4" fillId="12" borderId="0" xfId="0" applyFont="1" applyFill="1"/>
    <xf numFmtId="0" fontId="2" fillId="10" borderId="12" xfId="0" applyFont="1" applyFill="1" applyBorder="1" applyAlignment="1">
      <alignment horizontal="center" vertical="center"/>
    </xf>
    <xf numFmtId="0" fontId="0" fillId="0" borderId="1" xfId="0" applyBorder="1"/>
    <xf numFmtId="0" fontId="4" fillId="6" borderId="11" xfId="0" applyFont="1" applyFill="1" applyBorder="1" applyAlignment="1">
      <alignment horizontal="center" vertical="center"/>
    </xf>
    <xf numFmtId="0" fontId="0" fillId="0" borderId="10" xfId="0" applyBorder="1"/>
  </cellXfs>
  <cellStyles count="2">
    <cellStyle name="Lien hypertexte" xfId="1" builtinId="8"/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-0.24994659260841701"/>
        </patternFill>
      </fill>
    </dxf>
    <dxf>
      <fill>
        <patternFill patternType="darkGray">
          <bgColor theme="0" tint="-0.499984740745262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ill>
        <patternFill>
          <bgColor rgb="FFFFCCCC"/>
        </patternFill>
      </fill>
    </dxf>
    <dxf>
      <fill>
        <patternFill>
          <bgColor rgb="FFC00000"/>
        </patternFill>
      </fill>
    </dxf>
    <dxf>
      <font>
        <color auto="1"/>
      </font>
      <fill>
        <patternFill patternType="darkGray">
          <fgColor theme="0" tint="-0.499984740745262"/>
        </patternFill>
      </fill>
    </dxf>
    <dxf>
      <numFmt numFmtId="164" formatCode="[$-F800]dddd\,\ mmmm\ dd\,\ yyyy"/>
    </dxf>
    <dxf>
      <numFmt numFmtId="164" formatCode="[$-F800]dddd\,\ mmmm\ dd\,\ yyyy"/>
    </dxf>
    <dxf>
      <numFmt numFmtId="164" formatCode="[$-F800]dddd\,\ mmmm\ dd\,\ yyyy"/>
    </dxf>
    <dxf>
      <font>
        <strike val="0"/>
        <outline val="0"/>
        <shadow val="0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Job status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06B-4127-88AB-9EB7DB5EB49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06B-4127-88AB-9EB7DB5EB49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06B-4127-88AB-9EB7DB5EB49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06B-4127-88AB-9EB7DB5EB49E}"/>
              </c:ext>
            </c:extLst>
          </c:dPt>
          <c:cat>
            <c:strRef>
              <c:f>'Job applications 2026-2027'!$F$2:$I$2</c:f>
              <c:strCache>
                <c:ptCount val="4"/>
                <c:pt idx="0">
                  <c:v>Unapplied yet:</c:v>
                </c:pt>
                <c:pt idx="1">
                  <c:v>Number of app sent:</c:v>
                </c:pt>
                <c:pt idx="2">
                  <c:v>Received offers:</c:v>
                </c:pt>
                <c:pt idx="3">
                  <c:v>Refused:</c:v>
                </c:pt>
              </c:strCache>
            </c:strRef>
          </c:cat>
          <c:val>
            <c:numRef>
              <c:f>'Job applications 2026-2027'!$F$3:$I$3</c:f>
              <c:numCache>
                <c:formatCode>General</c:formatCode>
                <c:ptCount val="4"/>
                <c:pt idx="0" formatCode="0">
                  <c:v>343</c:v>
                </c:pt>
                <c:pt idx="1">
                  <c:v>239</c:v>
                </c:pt>
                <c:pt idx="2">
                  <c:v>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6B-4127-88AB-9EB7DB5EB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19572</xdr:colOff>
      <xdr:row>0</xdr:row>
      <xdr:rowOff>39144</xdr:rowOff>
    </xdr:from>
    <xdr:to>
      <xdr:col>2</xdr:col>
      <xdr:colOff>2935788</xdr:colOff>
      <xdr:row>3</xdr:row>
      <xdr:rowOff>163099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L438" totalsRowShown="0" headerRowDxfId="12">
  <autoFilter ref="A5:L438" xr:uid="{00000000-0009-0000-0100-000001000000}"/>
  <sortState xmlns:xlrd2="http://schemas.microsoft.com/office/spreadsheetml/2017/richdata2" ref="A6:L109">
    <sortCondition ref="H5:H109"/>
  </sortState>
  <tableColumns count="12">
    <tableColumn id="1" xr3:uid="{00000000-0010-0000-0000-000001000000}" name="Status"/>
    <tableColumn id="2" xr3:uid="{00000000-0010-0000-0000-000002000000}" name="Company"/>
    <tableColumn id="3" xr3:uid="{00000000-0010-0000-0000-000003000000}" name="Job Title"/>
    <tableColumn id="11" xr3:uid="{00000000-0010-0000-0000-00000B000000}" name="Semester"/>
    <tableColumn id="4" xr3:uid="{00000000-0010-0000-0000-000004000000}" name="Location"/>
    <tableColumn id="12" xr3:uid="{00000000-0010-0000-0000-00000C000000}" name="Date written in Excel" dataDxfId="11"/>
    <tableColumn id="5" xr3:uid="{00000000-0010-0000-0000-000005000000}" name="Date applied" dataDxfId="10"/>
    <tableColumn id="6" xr3:uid="{00000000-0010-0000-0000-000006000000}" name="Closing date" dataDxfId="9"/>
    <tableColumn id="7" xr3:uid="{00000000-0010-0000-0000-000007000000}" name="Job post link"/>
    <tableColumn id="8" xr3:uid="{00000000-0010-0000-0000-000008000000}" name="Interest in the role"/>
    <tableColumn id="9" xr3:uid="{00000000-0010-0000-0000-000009000000}" name="Salary"/>
    <tableColumn id="10" xr3:uid="{00000000-0010-0000-0000-00000A000000}" name="Notes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FCE1C8-C5EE-4E9F-8DC5-848C8F2FC6BE}" name="Tableau3" displayName="Tableau3" ref="A1:M213" totalsRowShown="0" headerRowDxfId="0">
  <autoFilter ref="A1:M213" xr:uid="{0AFCE1C8-C5EE-4E9F-8DC5-848C8F2FC6BE}"/>
  <tableColumns count="13">
    <tableColumn id="1" xr3:uid="{6441AFF4-E29B-4997-8669-7591319D51DA}" name="Status"/>
    <tableColumn id="2" xr3:uid="{F4BBBBE5-0887-4941-89F0-6E80804F1581}" name="Company"/>
    <tableColumn id="3" xr3:uid="{5173D14C-5BEC-431C-AC8C-A760FF7A6A36}" name="Job Title"/>
    <tableColumn id="4" xr3:uid="{F6A37318-0F07-4B68-B060-DC12DB1C587C}" name="Semester"/>
    <tableColumn id="5" xr3:uid="{59AC3FA1-3304-4F99-987B-1B635FDA9381}" name="Location"/>
    <tableColumn id="6" xr3:uid="{C1F8BF8E-AC5C-4F50-9F68-15AA2D93D29B}" name="Date posted"/>
    <tableColumn id="7" xr3:uid="{5A61651C-B7AE-4453-9A0D-FC3B02DB2FF9}" name="Date written in Excel"/>
    <tableColumn id="8" xr3:uid="{F371C79B-52E9-45BA-9FA4-FEB68F171041}" name="Date applied"/>
    <tableColumn id="9" xr3:uid="{02B30C91-2576-4441-A6BC-C55A02B526A2}" name="Closing date"/>
    <tableColumn id="10" xr3:uid="{79993378-D2F1-4111-8A7B-6B6C1256B8BE}" name="Job post link"/>
    <tableColumn id="11" xr3:uid="{AAC2107D-64C2-4FEB-AAB9-A123F43AE434}" name="Interest in the role"/>
    <tableColumn id="12" xr3:uid="{C8125831-8818-4BAD-9DFB-BE54F628F9AA}" name="Salary"/>
    <tableColumn id="13" xr3:uid="{0718376D-0831-4EA6-A885-AF8E61E9EA49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4:E168" totalsRowShown="0">
  <autoFilter ref="B4:E168" xr:uid="{00000000-0009-0000-0100-000002000000}"/>
  <sortState xmlns:xlrd2="http://schemas.microsoft.com/office/spreadsheetml/2017/richdata2" ref="B5:E68">
    <sortCondition ref="B4:B69"/>
  </sortState>
  <tableColumns count="4">
    <tableColumn id="1" xr3:uid="{00000000-0010-0000-0100-000001000000}" name="Name"/>
    <tableColumn id="2" xr3:uid="{00000000-0010-0000-0100-000002000000}" name="Industry"/>
    <tableColumn id="3" xr3:uid="{00000000-0010-0000-0100-000003000000}" name="Link"/>
    <tableColumn id="4" xr3:uid="{00000000-0010-0000-0100-000004000000}" name="Contacts from that company (LI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Personnalisé 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62626"/>
      </a:accent1>
      <a:accent2>
        <a:srgbClr val="FAE2D6"/>
      </a:accent2>
      <a:accent3>
        <a:srgbClr val="4EA72E"/>
      </a:accent3>
      <a:accent4>
        <a:srgbClr val="C00000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ro.wd10.myworkdayjobs.com/en-US/GIRO/details/Hiver-2027---Stagiaire-en-dveloppement-logiciel_R-100000312" TargetMode="External"/><Relationship Id="rId299" Type="http://schemas.openxmlformats.org/officeDocument/2006/relationships/hyperlink" Target="https://jobs.smartrecruiters.com/oneclick-ui/company/GDMSI/publication/d96baef0-eb51-4d59-9672-0d3258855901?dcr_ci=GDMSI&amp;vq_campaign=4e57d3c5-d139-5f94-b2f5-e08a29adbb6d&amp;vq_source=54851605-81a3-4507-a744-1b28be5be283&amp;igbTracker=962609247&amp;utm_source=mcgilluniversity" TargetMode="External"/><Relationship Id="rId21" Type="http://schemas.openxmlformats.org/officeDocument/2006/relationships/hyperlink" Target="https://www.linkedin.com/jobs/view/4437772079/?trackingId=VjZAwoINDIa%2Fau9vv0uJBg%3D%3D&amp;refId=ipIvV5qEyvihhAd%2F1eFFow%3D%3D&amp;eBP=NOT_ELIGIBLE_FOR_CHARGING&amp;alternateChannel=search&amp;isJobSearch=false" TargetMode="External"/><Relationship Id="rId63" Type="http://schemas.openxmlformats.org/officeDocument/2006/relationships/hyperlink" Target="https://www.linkedin.com/jobs/view/4462726244/?trackingId=ru7doXtgvbRXSkTaT3ldBg%3D%3D&amp;refId=KGaBqmUfqtwbontFfBXpZw%3D%3D&amp;eBP=CwEAAAGgg51nvSUkNlhSjDiYcNfvv5-d0cbxNXXKDmgoNQMHeKvu4Xd92n0ETLR93YvUCBuh3rHlyoM4SUOmYohCJeKY1M5sKzkAmD1c2cKFLNAMFb9P5mqb1w_zzZAE7xHq701KSHeGC2Qi5tjK085pop6MddPVnE1DbrUapFPaHhAEzaOx2Ieivm9qc_reTXQfsaj0-UHqV8nV4wkd4pVWyplHj5WX5mlAWHeq0ucNF5bxnSTwmQ49PtGpIW9cRF5DFAorU6TEyh6aoFvi6yAmv8dL2_lVEVBVffamCBrHpQz5jd-zznaTy7XkDM7eab6R3b2QAgPPinA0RvgYHMBublXajoylffNEGjDLQr75FMLZuB-sfc-cuWMzMx2NYg8pUS3AEOIrDEL0kQBQZvZyGdsYYID2kqwwQsJBwvjnPjdKNJQWFwmoTkY4PfepxDkE6pOzRDJWPIiiEi-f7BvLUuUlgEOcZIu345pbGJtQDA&amp;alternateChannel=search&amp;isJobSearch=false" TargetMode="External"/><Relationship Id="rId159" Type="http://schemas.openxmlformats.org/officeDocument/2006/relationships/hyperlink" Target="https://careers.ibm.com/fr_CA/careers/JobDetail?jobId=129778&amp;source=WEB_Search_NA" TargetMode="External"/><Relationship Id="rId324" Type="http://schemas.openxmlformats.org/officeDocument/2006/relationships/hyperlink" Target="https://careers.qualcomm.com/careers/job/446721064094" TargetMode="External"/><Relationship Id="rId366" Type="http://schemas.openxmlformats.org/officeDocument/2006/relationships/hyperlink" Target="https://sweettech.ai/careers/software-development-intern-winter-2027/" TargetMode="External"/><Relationship Id="rId170" Type="http://schemas.openxmlformats.org/officeDocument/2006/relationships/hyperlink" Target="https://careers.ibm.com/fr_CA/careers/JobDetail?jobId=130716&amp;source=WEB_Search_NA" TargetMode="External"/><Relationship Id="rId226" Type="http://schemas.openxmlformats.org/officeDocument/2006/relationships/hyperlink" Target="https://careers.ibm.com/fr_CA/careers/JobDetail?jobId=128527&amp;source=WEB_Search_NA" TargetMode="External"/><Relationship Id="rId433" Type="http://schemas.openxmlformats.org/officeDocument/2006/relationships/hyperlink" Target="https://cgi.njoyn.com/CORP/xweb/xweb.asp?NTKN=c&amp;clid=21001&amp;Page=JobDetails&amp;Jobid=J0926-2493&amp;BRID=1337125&amp;lang=1" TargetMode="External"/><Relationship Id="rId268" Type="http://schemas.openxmlformats.org/officeDocument/2006/relationships/hyperlink" Target="https://ats.rippling.com/blue-robotics/jobs/25a883e5-3fa4-459e-9762-5f33a3512cd8" TargetMode="External"/><Relationship Id="rId475" Type="http://schemas.openxmlformats.org/officeDocument/2006/relationships/hyperlink" Target="https://emploi.hydroquebec.com/job/Stage-universitaire-Technologies-num%C3%A9riques-G%C3%A9nie-logiciel-Hiver-2027/188897-fr_FR" TargetMode="External"/><Relationship Id="rId32" Type="http://schemas.openxmlformats.org/officeDocument/2006/relationships/hyperlink" Target="https://www.linkedin.com/company/intelcom-dragonfly/life/" TargetMode="External"/><Relationship Id="rId74" Type="http://schemas.openxmlformats.org/officeDocument/2006/relationships/hyperlink" Target="https://www.linkedin.com/company/intact/life/" TargetMode="External"/><Relationship Id="rId128" Type="http://schemas.openxmlformats.org/officeDocument/2006/relationships/hyperlink" Target="https://www.epicgames.com/site/careers/jobs/6138134004" TargetMode="External"/><Relationship Id="rId335" Type="http://schemas.openxmlformats.org/officeDocument/2006/relationships/hyperlink" Target="https://careers.qualcomm.com/careers/job/446721156615" TargetMode="External"/><Relationship Id="rId377" Type="http://schemas.openxmlformats.org/officeDocument/2006/relationships/hyperlink" Target="https://emploi.hydroquebec.com/job/Stage-universitaire-g%C3%A9nie-informatique-Hiver-2027/188575-fr_FR" TargetMode="External"/><Relationship Id="rId500" Type="http://schemas.openxmlformats.org/officeDocument/2006/relationships/hyperlink" Target="https://nvidia.wd5.myworkdayjobs.com/NVIDIAExternalCareerSite/job/US-CA-Santa-Clara/NVIDIA-2027-Ignite-Internships--Software-Engineering_JR2026958" TargetMode="External"/><Relationship Id="rId5" Type="http://schemas.openxmlformats.org/officeDocument/2006/relationships/hyperlink" Target="https://emplois.carrieres.gouv.qc.ca/plateforme-emploi/libre-service/offres-emploi/poste/22344" TargetMode="External"/><Relationship Id="rId181" Type="http://schemas.openxmlformats.org/officeDocument/2006/relationships/hyperlink" Target="https://careers.ibm.com/fr_CA/careers/JobDetail?jobId=128827&amp;source=WEB_Search_NA" TargetMode="External"/><Relationship Id="rId237" Type="http://schemas.openxmlformats.org/officeDocument/2006/relationships/hyperlink" Target="https://careers.ibm.com/fr_CA/careers/JobDetail?jobId=128815&amp;source=WEB_Search_NA" TargetMode="External"/><Relationship Id="rId402" Type="http://schemas.openxmlformats.org/officeDocument/2006/relationships/hyperlink" Target="https://bba.csod.com/ux/ats/careersite/4/home/requisition/3139?c=bba&amp;lang=en-US&amp;axeptio_token=ew1uvTJuiYSa0pR7Sl16GQSxPA&amp;_gl=1*1381bqn*_gcl_au*MTM3MjE4ODQ0Ni4xNzkwODAwMzA0*_ga*MTY3MDA2MjUwNC4xNzkwODAwMzAx*_ga_X4MFQT1G0B*czE3OTA4MDAzMDAkbzEkZzEkdDE3OTA4MDAzMTgkajQ1JGwwJGgw" TargetMode="External"/><Relationship Id="rId279" Type="http://schemas.openxmlformats.org/officeDocument/2006/relationships/hyperlink" Target="https://careerscoopinternen-fgfbrands.icims.com/jobs/26841/it-software-qa-automation-co-op-%28winter-2027%29/job" TargetMode="External"/><Relationship Id="rId444" Type="http://schemas.openxmlformats.org/officeDocument/2006/relationships/hyperlink" Target="https://asc-csa.hiringplatform.ca/252627-stagiaire-architecture-integree-de-la-ti/1145834-formulaire/en" TargetMode="External"/><Relationship Id="rId486" Type="http://schemas.openxmlformats.org/officeDocument/2006/relationships/hyperlink" Target="https://emploi.hydroquebec.com/job/Stage-universitaire-Gestion-de-projets-%28administration%29-Hiver-2027/188915-fr_FR" TargetMode="External"/><Relationship Id="rId43" Type="http://schemas.openxmlformats.org/officeDocument/2006/relationships/hyperlink" Target="https://www.linkedin.com/jobs/search-results/?currentJobId=4459522711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refId=KGaBqmUfqtwbontFfBXpZw%3D%3D&amp;trackingId=RUtCS3TnLcLViV%2F5x594UQ%3D%3D&amp;keywords=freshman%20intern%20software%20engineering&amp;origin=SEMANTIC_SEARCH_LANDING_PAGE" TargetMode="External"/><Relationship Id="rId139" Type="http://schemas.openxmlformats.org/officeDocument/2006/relationships/hyperlink" Target="https://careers.ibm.com/fr_CA/careers/JobDetail?jobId=130076&amp;source=WEB_Search_NA" TargetMode="External"/><Relationship Id="rId290" Type="http://schemas.openxmlformats.org/officeDocument/2006/relationships/hyperlink" Target="https://emploi.hydroquebec.com/content/Stages-et-programmes/?locale=fr_FR" TargetMode="External"/><Relationship Id="rId304" Type="http://schemas.openxmlformats.org/officeDocument/2006/relationships/hyperlink" Target="https://jobs.smartrecruiters.com/oneclick-ui/company/GDMSI/publication/3fe14582-9540-4c5e-ba34-4a5921be3008?dcr_ci=GDMSI&amp;vq_campaign=27c98fab-cf4b-566b-8cf9-0eb8746c1c08&amp;vq_source=54851605-81a3-4507-a744-1b28be5be283&amp;igbTracker=962609312&amp;utm_source=mcgilluniversity" TargetMode="External"/><Relationship Id="rId346" Type="http://schemas.openxmlformats.org/officeDocument/2006/relationships/hyperlink" Target="https://careers.qualcomm.com/careers/job/446721064141" TargetMode="External"/><Relationship Id="rId388" Type="http://schemas.openxmlformats.org/officeDocument/2006/relationships/hyperlink" Target="https://emploi.hydroquebec.com/job/Stage-universitaire-Administration-des-syst%C3%A8mes-et-des-infrastructures-TI-Hiver-2027/188617-fr_FR" TargetMode="External"/><Relationship Id="rId85" Type="http://schemas.openxmlformats.org/officeDocument/2006/relationships/hyperlink" Target="https://www.linkedin.com/jobs/search-results/?currentJobId=4460647361&amp;eBP=NOT_ELIGIBLE_FOR_CHARGING&amp;refId=c%2Fg0DEk%2BjRgXcGAgk%2FOiSw%3D%3D&amp;trackingId=28Ki964UF7o%2BiQKuLUJouQ%3D%3D&amp;keywords=freshman%20intern%20software%20engineering&amp;origin=SEMANTIC_SEARCH_LANDING_PAGE&amp;start=25" TargetMode="External"/><Relationship Id="rId150" Type="http://schemas.openxmlformats.org/officeDocument/2006/relationships/hyperlink" Target="https://careers.ibm.com/fr_CA/careers/JobDetail?jobId=128497&amp;source=WEB_Search_NA" TargetMode="External"/><Relationship Id="rId192" Type="http://schemas.openxmlformats.org/officeDocument/2006/relationships/hyperlink" Target="https://careers.ibm.com/fr_CA/careers/JobDetail?jobId=128922&amp;source=WEB_Search_NA" TargetMode="External"/><Relationship Id="rId206" Type="http://schemas.openxmlformats.org/officeDocument/2006/relationships/hyperlink" Target="https://careers.ibm.com/fr_CA/careers/JobDetail?jobId=128823&amp;source=WEB_Search_NA" TargetMode="External"/><Relationship Id="rId413" Type="http://schemas.openxmlformats.org/officeDocument/2006/relationships/hyperlink" Target="https://lumentum.wd5.myworkdayjobs.com/en-US/LITE/details/Embedded-Software-DevSecOps-Engineer--Co-op-Student-_20261356?workerSubType=01232ead616f01ef5e875b3e6310c01d&amp;workerSubType=01232ead616f01895fdd7a406310c91d" TargetMode="External"/><Relationship Id="rId248" Type="http://schemas.openxmlformats.org/officeDocument/2006/relationships/hyperlink" Target="https://careers.ibm.com/fr_CA/careers/JobDetail?jobId=128823&amp;source=WEB_Search_NA" TargetMode="External"/><Relationship Id="rId455" Type="http://schemas.openxmlformats.org/officeDocument/2006/relationships/hyperlink" Target="https://emploi.hydroquebec.com/job/Stage-universitaire-Technologies-num%C3%A9riques-D%C3%A9veloppement-Hiver-2027/188644-fr_FR" TargetMode="External"/><Relationship Id="rId497" Type="http://schemas.openxmlformats.org/officeDocument/2006/relationships/hyperlink" Target="https://www.linkedin.com/jobs/view/4474540210/?refId=5%EF%BF%BD~4%CD%BA%15%3A%EF%BF%BD%00%07%EB%AF%98%EF%BF%BD%EF%BF%BD" TargetMode="External"/><Relationship Id="rId12" Type="http://schemas.openxmlformats.org/officeDocument/2006/relationships/hyperlink" Target="https://careers.beenox.com/us/en/job/R027932/Stagiaire-en-production-Beenox-Hiver-2027" TargetMode="External"/><Relationship Id="rId108" Type="http://schemas.openxmlformats.org/officeDocument/2006/relationships/hyperlink" Target="https://www.linkedin.com/jobs/search-results/?currentJobId=4458281140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refId=H6o4pxawrkb3Pa15PnEvqg%3D%3D&amp;trackingId=Zqft91QGzzcZ%2FH6M1QcEGg%3D%3D&amp;keywords=freshman%20intern%20software%20engineering&amp;origin=SEMANTIC_SEARCH_LANDING_PAGE&amp;start=75" TargetMode="External"/><Relationship Id="rId315" Type="http://schemas.openxmlformats.org/officeDocument/2006/relationships/hyperlink" Target="https://intelcomgroup.wd3.myworkdayjobs.com/en-US/Intelcom/job/Data-Engineering-Intern_JR111567" TargetMode="External"/><Relationship Id="rId357" Type="http://schemas.openxmlformats.org/officeDocument/2006/relationships/hyperlink" Target="https://rbi.wd3.myworkdayjobs.com/en-US/RBI_External_Career_Site/job/Undergraduate-Summer-Internship-Program---Toronto_R3758?locationCountry=a30a87ed25634629aa6c3958aa2b91ea&amp;locations=7e87ecb61742015a7b6e03a11b02a1d1" TargetMode="External"/><Relationship Id="rId54" Type="http://schemas.openxmlformats.org/officeDocument/2006/relationships/hyperlink" Target="https://www.linkedin.com/jobs/view/4415142798/?trackingId=5%2FW%2BlXRqouo8G7xsaXadnw%3D%3D&amp;refId=KGaBqmUfqtwbontFfBXpZw%3D%3D&amp;eBP=NOT_ELIGIBLE_FOR_CHARGING&amp;alternateChannel=search&amp;isJobSearch=false" TargetMode="External"/><Relationship Id="rId96" Type="http://schemas.openxmlformats.org/officeDocument/2006/relationships/hyperlink" Target="https://www.linkedin.com/jobs/view/4437615263/?trackingId=sI26U4CQstpUfkHJVkol1A%3D%3D&amp;refId=0yvpgDSnmqqwfJ%2FA7hfqmw%3D%3D&amp;eBP=CwEAAAGgg6BhFkCttodv2pPYKSZFfgL33tZC5E6SO-cy-z6pSJMiLb8DgX9yJ5PvEbnYYzSUwZ3pC0rPghew5XGKF2jCovASbuKQ8a9LKJRbLCgSy7e548zMxxQDVaXtUWLtmXmzFwBEgm9qvjbWkvI93yV2RIAoH-wB3ib86atC_VMVb407dDs5YA7A6WBw_rCuvxO4BeLjjHGbNMUeUC7AFgyU9PszGFXZB3-QsEe1E4PEL_9sRuh5A-6JJwcBRQv1mYNQqIqdTWH8N_URi0DQqbBPox9VXKbUceSjwEqFd6hCRI-EHTLXYFt9ksew73EvxaMd8010PthwlVHAmIv8N8qhuCb9gArYCkfL-WGv--Yt0UhdPwawDOrpJPVal4ZTWliN_Mnt1wcyytuGmyQFW1KRiK3420TzAzB0Vm4GcFojcw4wzFcubOIJZLiiVvkjDsucZJ3jJmGASK0om3Ymz8Tcs9DcMIGxCts3L6o&amp;alternateChannel=search&amp;isJobSearch=false" TargetMode="External"/><Relationship Id="rId161" Type="http://schemas.openxmlformats.org/officeDocument/2006/relationships/hyperlink" Target="https://careers.ibm.com/fr_CA/careers/JobDetail?jobId=130346&amp;source=WEB_Search_NA" TargetMode="External"/><Relationship Id="rId217" Type="http://schemas.openxmlformats.org/officeDocument/2006/relationships/hyperlink" Target="https://careers.ibm.com/fr_CA/careers/JobDetail?jobId=128807&amp;source=WEB_Search_NA" TargetMode="External"/><Relationship Id="rId399" Type="http://schemas.openxmlformats.org/officeDocument/2006/relationships/hyperlink" Target="https://jobs.autodesk.com/careers?start=10&amp;pid=1443153535146&amp;sort_by=timestamp&amp;filter_job_category=intern+fg" TargetMode="External"/><Relationship Id="rId259" Type="http://schemas.openxmlformats.org/officeDocument/2006/relationships/hyperlink" Target="https://careers.ibm.com/fr_CA/careers/JobDetail?jobId=127717&amp;source=WEB_Search_NA" TargetMode="External"/><Relationship Id="rId424" Type="http://schemas.openxmlformats.org/officeDocument/2006/relationships/hyperlink" Target="https://recruiting.ultipro.ca/MAT5002MARX/JobBoard/69a03e48-0d5a-46df-9cba-fbcc2c7a9dbc/OpportunityDetail?opportunityId=6054dfe0-1174-4f39-84cf-cdbc3725f5d9" TargetMode="External"/><Relationship Id="rId466" Type="http://schemas.openxmlformats.org/officeDocument/2006/relationships/hyperlink" Target="https://emploi.hydroquebec.com/job/Stage-universitaire-G%C3%A9nie-%C3%A9lectrique-Hiver-2027/188281-fr_FR" TargetMode="External"/><Relationship Id="rId23" Type="http://schemas.openxmlformats.org/officeDocument/2006/relationships/hyperlink" Target="https://www.linkedin.com/company/kinaxis/life/" TargetMode="External"/><Relationship Id="rId119" Type="http://schemas.openxmlformats.org/officeDocument/2006/relationships/hyperlink" Target="https://jobs.nokia.com/en/sites/CX_1/job/39237/?utm_medium=jobshare&amp;utm_source=External+Job+Share" TargetMode="External"/><Relationship Id="rId270" Type="http://schemas.openxmlformats.org/officeDocument/2006/relationships/hyperlink" Target="https://careerscoopinternen-fgfbrands.icims.com/jobs/26661/product-support-analyst%2c-ai-automation-co-op-%28winter-2027%29/job?mobile=false&amp;width=1209&amp;height=500&amp;bga=true&amp;needsRedirect=false&amp;jan1offset=-300&amp;jun1offset=-240" TargetMode="External"/><Relationship Id="rId326" Type="http://schemas.openxmlformats.org/officeDocument/2006/relationships/hyperlink" Target="https://careers.qualcomm.com/careers/job/446721064018" TargetMode="External"/><Relationship Id="rId65" Type="http://schemas.openxmlformats.org/officeDocument/2006/relationships/hyperlink" Target="https://www.linkedin.com/company/giro/life/" TargetMode="External"/><Relationship Id="rId130" Type="http://schemas.openxmlformats.org/officeDocument/2006/relationships/hyperlink" Target="https://www.epicgames.com/site/careers/jobs/6138142004" TargetMode="External"/><Relationship Id="rId368" Type="http://schemas.openxmlformats.org/officeDocument/2006/relationships/hyperlink" Target="https://emploi.hydroquebec.com/job/Stage-universitaire-Gestion-de-projets-Hiver-2027/188462-fr_FR" TargetMode="External"/><Relationship Id="rId172" Type="http://schemas.openxmlformats.org/officeDocument/2006/relationships/hyperlink" Target="https://careers.ibm.com/fr_CA/careers/JobDetail?jobId=130067&amp;source=WEB_Search_NA" TargetMode="External"/><Relationship Id="rId228" Type="http://schemas.openxmlformats.org/officeDocument/2006/relationships/hyperlink" Target="https://careers.ibm.com/fr_CA/careers/JobDetail?jobId=130103&amp;source=WEB_Search_NA" TargetMode="External"/><Relationship Id="rId435" Type="http://schemas.openxmlformats.org/officeDocument/2006/relationships/hyperlink" Target="https://cgi.njoyn.com/CORP/xweb/xweb.asp?NTKN=c&amp;clid=21001&amp;Page=JobDetails&amp;Jobid=J0926-2073&amp;BRID=1335777&amp;lang=1" TargetMode="External"/><Relationship Id="rId477" Type="http://schemas.openxmlformats.org/officeDocument/2006/relationships/hyperlink" Target="https://emploi.hydroquebec.com/job/Stage-universitaire-Technologies-num%C3%A9riques-Gestion-de-projets-Hiver-2027/188916-fr_FR" TargetMode="External"/><Relationship Id="rId281" Type="http://schemas.openxmlformats.org/officeDocument/2006/relationships/hyperlink" Target="https://careerscoopinternen-fgfbrands.icims.com/jobs/26843/data-pipeline-engineering-co-op-%28winter-2027%29/job" TargetMode="External"/><Relationship Id="rId337" Type="http://schemas.openxmlformats.org/officeDocument/2006/relationships/hyperlink" Target="https://careers.qualcomm.com/careers/job/446721156182" TargetMode="External"/><Relationship Id="rId502" Type="http://schemas.openxmlformats.org/officeDocument/2006/relationships/drawing" Target="../drawings/drawing1.xml"/><Relationship Id="rId34" Type="http://schemas.openxmlformats.org/officeDocument/2006/relationships/hyperlink" Target="https://www.linkedin.com/jobs/search-results/?currentJobId=4462079429&amp;eBP=CwEAAAGgg51nvRJwCQlUb6CGpCrd55wPe1rD4MG8DiRUd7Yq75ksuZmi6wEkzs1bhejs8UsD2JL5f3LC-IiSxN1kAP-lMIY6qvOjofPlMRGgoMOEgYivil2PfyYsNcrwn9USP1xLJd2VuA0bVd9ys1CutBr7l7nQwlqwvpKMpW8KPlNFgofA3fQ50Qb1cWabOI6DBKDyxaceC1kil1Gs1m22ThHDQ5hCJtsg41HxcAfVeraQN_tFdorarukvP1jgFfuN2HqVfSsMjr47gaaI4Qgk7-jSwTMtUB9s-AmyWSEZkj2qKMLNplfzu9hTHixneoc_Kgkd4U-YxDK0OwJ0IzXQCmhoSdahMHgLqSZa0vbTPWNshrrG4G-RiAH5-8y_nES10CNZkkquWR0pyrXR0czm5N1X9GfdB2XnUEt22nRZIPrjz5gfsGt14oXi53j25AEol-4kNIMwKxPOEW6dIxuXMYlqR31ZONfoReASjVI&amp;refId=KGaBqmUfqtwbontFfBXpZw%3D%3D&amp;trackingId=OiPbE%2FzyACunhgbNfBUckw%3D%3D&amp;keywords=freshman%20intern%20software%20engineering&amp;origin=SEMANTIC_SEARCH_LANDING_PAGE" TargetMode="External"/><Relationship Id="rId76" Type="http://schemas.openxmlformats.org/officeDocument/2006/relationships/hyperlink" Target="https://www.linkedin.com/jobs/search-results/?currentJobId=4463531417&amp;eBP=CwEAAAGgg58aZlkymv2lC4yVg1g8arWsrZEegFHokqN3LQXY0TQTXwmEVM1FKPbfst582uclP-rSBOGbDZnHDh7FB_dghZyMSNLGeH_n97sUBRPUGmsTKoosIpklBxK9eoaf0xKSqACBirOoUy9NWy52Xs4WNIeKph6JNOdOuuU1v8qzPPULPPSt6YtqcdqnA6BLGBhMKKIDsNCG6b8k-XRfNO4ZZGkwHq3YBAN7T2Q_0xD-moRMXl9jtbKAHepxEosDTN5qgAq2SHvOxtDn0c00nTGpHUUMxH4wGBrNTXJWGbS9F0-dKM4XA59iqEXZTVgdBpW0nTeVNPpuqBCfn90_hExQEcRnd8tBQeHMfYRMd5NjmrZDhQvXUrUU-R2WNKe1R2I8chEFA1HQFzTIdiCIKfQ-y6FCje3iE9IwJRSO7i418uWra00EjfDuIJwJGquMjcYtHu2fQ8HSWyBwpinfbdld1zXC2bCmdlMaiNBirAPompY&amp;refId=c%2Fg0DEk%2BjRgXcGAgk%2FOiSw%3D%3D&amp;trackingId=sq9nmTglWnrmUWHi9zvYug%3D%3D&amp;keywords=freshman%20intern%20software%20engineering&amp;origin=SEMANTIC_SEARCH_LANDING_PAGE&amp;start=25" TargetMode="External"/><Relationship Id="rId141" Type="http://schemas.openxmlformats.org/officeDocument/2006/relationships/hyperlink" Target="https://careers.ibm.com/fr_CA/careers/JobDetail?jobId=130141&amp;source=WEB_Search_NA" TargetMode="External"/><Relationship Id="rId379" Type="http://schemas.openxmlformats.org/officeDocument/2006/relationships/hyperlink" Target="https://emploi.hydroquebec.com/job/Stage-universitaire-g%C3%A9nie-informatique-Hiver-2027/188575-fr_FR" TargetMode="External"/><Relationship Id="rId7" Type="http://schemas.openxmlformats.org/officeDocument/2006/relationships/hyperlink" Target="https://www.squarepoint-capital.com/opportunity-details?id=7905463" TargetMode="External"/><Relationship Id="rId183" Type="http://schemas.openxmlformats.org/officeDocument/2006/relationships/hyperlink" Target="https://careers.ibm.com/fr_CA/careers/JobDetail?jobId=128772&amp;source=WEB_Search_NA" TargetMode="External"/><Relationship Id="rId239" Type="http://schemas.openxmlformats.org/officeDocument/2006/relationships/hyperlink" Target="https://careers.ibm.com/fr_CA/careers/JobDetail?jobId=130113&amp;source=WEB_Search_NA" TargetMode="External"/><Relationship Id="rId390" Type="http://schemas.openxmlformats.org/officeDocument/2006/relationships/hyperlink" Target="https://emploi.hydroquebec.com/job/Stage-universitaire-Analyse-de-donn%C3%A9es-Hiver-2027/188411-fr_FR" TargetMode="External"/><Relationship Id="rId404" Type="http://schemas.openxmlformats.org/officeDocument/2006/relationships/hyperlink" Target="https://www.drw.com/work-at-drw/listings/software-developer-intern-3466687" TargetMode="External"/><Relationship Id="rId446" Type="http://schemas.openxmlformats.org/officeDocument/2006/relationships/hyperlink" Target="https://recruiting.ultipro.ca/LAU5000LAUC/JobBoard/8eee8c41-11f8-48db-983b-e902bac13b69/OpportunityDetail?opportunityId=25f6d717-c4a3-441d-a11f-4c2bea27e687" TargetMode="External"/><Relationship Id="rId250" Type="http://schemas.openxmlformats.org/officeDocument/2006/relationships/hyperlink" Target="https://careers.ibm.com/fr_CA/careers/JobDetail?jobId=128792&amp;source=WEB_Search_NA" TargetMode="External"/><Relationship Id="rId292" Type="http://schemas.openxmlformats.org/officeDocument/2006/relationships/hyperlink" Target="https://emploi.hydroquebec.com/content/Stages-et-programmes/?locale=fr_FR" TargetMode="External"/><Relationship Id="rId306" Type="http://schemas.openxmlformats.org/officeDocument/2006/relationships/hyperlink" Target="https://jobs.smartrecruiters.com/oneclick-ui/company/GDMSI/publication/65095ce0-833d-42f0-92dd-b03b04bb449b?dcr_ci=GDMSI&amp;vq_campaign=20a5c038-8166-5daf-bdf7-b57c496afd7a&amp;vq_source=54851605-81a3-4507-a744-1b28be5be283&amp;igbTracker=962609346&amp;utm_source=mcgilluniversity" TargetMode="External"/><Relationship Id="rId488" Type="http://schemas.openxmlformats.org/officeDocument/2006/relationships/hyperlink" Target="https://emploi.hydroquebec.com/job/Stage-universitaire-D%C3%A9veloppement-d&amp;apos;outils-et-analyse-de-donn%C3%A9es-%28%C3%A9olien%29-Hiver-2027/188461-fr_FR" TargetMode="External"/><Relationship Id="rId45" Type="http://schemas.openxmlformats.org/officeDocument/2006/relationships/hyperlink" Target="https://www.linkedin.com/jobs/view/4459522711/?trackingId=RUtCS3TnLcLViV%2F5x594UQ%3D%3D&amp;refId=KGaBqmUfqtwbontFfBXpZw%3D%3D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alternateChannel=search&amp;isJobSearch=false" TargetMode="External"/><Relationship Id="rId87" Type="http://schemas.openxmlformats.org/officeDocument/2006/relationships/hyperlink" Target="https://www.linkedin.com/jobs/view/4464906044/?trackingId=WPBYtfEa%2FMj5gMX9kpJ4bg%3D%3D&amp;refId=c%2Fg0DEk%2BjRgXcGAgk%2FOiSw%3D%3D&amp;eBP=NOT_ELIGIBLE_FOR_CHARGING&amp;alternateChannel=search&amp;isJobSearch=false" TargetMode="External"/><Relationship Id="rId110" Type="http://schemas.openxmlformats.org/officeDocument/2006/relationships/hyperlink" Target="https://www.linkedin.com/jobs/view/4460652432/?trackingId=W8srJD4%2FPKZm6edTrsbQrA%3D%3D&amp;refId=H6o4pxawrkb3Pa15PnEvqg%3D%3D&amp;eBP=CwEAAAGgg6Eplvosre7XAg90uoHNzvyyafnYLXQpE7j89Tcgt9GDUJFwlUURhNjAE7wKroj2pvvmp4-ZkKoi0nuxY35Av8zqGRel22LblPJ6aiiY-7alIFXzy_VewX9-gDc0AufOhcVOLhFrK2rVWvGdzJrVA_yg5owq1e_LscZa7waVieV7teRQrymYcDfuFWnKZaH_ZCxSITT8STkfFvNnlm6b3Z02fUH4FhiwP9zA3gt6lav9VwXgMUYzDEQOKzGdKtpXAeT1-Fcd_iviOpDrYgofm9c3Na2X2TGMRuEbzEApXDdxZS9MwY-XanVACgUFBq1MFPt_oxEL0ZLD0jA6ppwwpNNS4r60rwwBCjqwu6PQAYTdpcjjJMKEvvpBhtEYF982Thvy15IvzMmy4WdM1INgqL8cmcEePk0POr32lCJY_KW_aEGLVKjI6eWduO1gXXpGvp7tv6yF2ugiWedpjOykyjwbxIqp6XIXT2c&amp;alternateChannel=search&amp;isJobSearch=false" TargetMode="External"/><Relationship Id="rId348" Type="http://schemas.openxmlformats.org/officeDocument/2006/relationships/hyperlink" Target="https://careers.qualcomm.com/careers/job/446721140914" TargetMode="External"/><Relationship Id="rId152" Type="http://schemas.openxmlformats.org/officeDocument/2006/relationships/hyperlink" Target="https://careers.ibm.com/fr_CA/careers/JobDetail?jobId=129661&amp;source=WEB_Search_NA" TargetMode="External"/><Relationship Id="rId194" Type="http://schemas.openxmlformats.org/officeDocument/2006/relationships/hyperlink" Target="https://careers.ibm.com/fr_CA/careers/JobDetail?jobId=128792&amp;source=WEB_Search_NA" TargetMode="External"/><Relationship Id="rId208" Type="http://schemas.openxmlformats.org/officeDocument/2006/relationships/hyperlink" Target="https://careers.ibm.com/fr_CA/careers/JobDetail?jobId=130043&amp;source=WEB_Search_NA" TargetMode="External"/><Relationship Id="rId415" Type="http://schemas.openxmlformats.org/officeDocument/2006/relationships/hyperlink" Target="https://recruiting.ultipro.ca/MAT5002MARX/JobBoard/69a03e48-0d5a-46df-9cba-fbcc2c7a9dbc/OpportunityDetail?opportunityId=621fe50f-3927-436c-af65-54f170651468" TargetMode="External"/><Relationship Id="rId457" Type="http://schemas.openxmlformats.org/officeDocument/2006/relationships/hyperlink" Target="https://emploi.hydroquebec.com/job/Stage-universitaire-Informatique-de-gestion-Hiver-2027/188651-fr_FR" TargetMode="External"/><Relationship Id="rId261" Type="http://schemas.openxmlformats.org/officeDocument/2006/relationships/hyperlink" Target="https://careers.ibm.com/fr_CA/careers/JobDetail?jobId=128748&amp;source=WEB_Search_NA" TargetMode="External"/><Relationship Id="rId499" Type="http://schemas.openxmlformats.org/officeDocument/2006/relationships/hyperlink" Target="https://workforcenow.adp.com/mascsr/default/mdf/recruitment/recruitment.html?cid=6008c003-f9a4-47a3-8573-a3b0d594bcba&amp;ccId=9200645568272_2&amp;jobId=577398&amp;lang=fr_CA" TargetMode="External"/><Relationship Id="rId14" Type="http://schemas.openxmlformats.org/officeDocument/2006/relationships/hyperlink" Target="https://careers.beenox.com/us/en/job/R027941/Stagiaire-Programmation-graphique-Beenox-Hiver-2027" TargetMode="External"/><Relationship Id="rId56" Type="http://schemas.openxmlformats.org/officeDocument/2006/relationships/hyperlink" Target="https://www.linkedin.com/company/sap/life/" TargetMode="External"/><Relationship Id="rId317" Type="http://schemas.openxmlformats.org/officeDocument/2006/relationships/hyperlink" Target="https://jobs.dayforcehcm.com/en-US/mydayforce/InternshipsandCoops/jobs/102385" TargetMode="External"/><Relationship Id="rId359" Type="http://schemas.openxmlformats.org/officeDocument/2006/relationships/hyperlink" Target="https://jobs.lever.co/analyticpartners/f4d7b848-878f-4761-be25-3d6e4f4d1a54" TargetMode="External"/><Relationship Id="rId98" Type="http://schemas.openxmlformats.org/officeDocument/2006/relationships/hyperlink" Target="https://www.linkedin.com/company/alayacare-inc/life/" TargetMode="External"/><Relationship Id="rId121" Type="http://schemas.openxmlformats.org/officeDocument/2006/relationships/hyperlink" Target="https://jobs.nokia.com/en/sites/CX_1/job/39435/?utm_medium=jobshare&amp;utm_source=External+Job+Share" TargetMode="External"/><Relationship Id="rId163" Type="http://schemas.openxmlformats.org/officeDocument/2006/relationships/hyperlink" Target="https://careers.ibm.com/fr_CA/careers/JobDetail?jobId=132407&amp;source=WEB_Search_NA" TargetMode="External"/><Relationship Id="rId219" Type="http://schemas.openxmlformats.org/officeDocument/2006/relationships/hyperlink" Target="https://careers.ibm.com/fr_CA/careers/JobDetail?jobId=130116&amp;source=WEB_Search_NA" TargetMode="External"/><Relationship Id="rId370" Type="http://schemas.openxmlformats.org/officeDocument/2006/relationships/hyperlink" Target="https://emploi.hydroquebec.com/job/Stage-universitaire-D%C3%A9veloppement-d&amp;apos;outils-et-analyse-de-donn%C3%A9es-%28%C3%A9olien%29-Hiver-2027/188461-fr_FR" TargetMode="External"/><Relationship Id="rId426" Type="http://schemas.openxmlformats.org/officeDocument/2006/relationships/hyperlink" Target="https://recruiting.ultipro.ca/MAT5002MARX/JobBoard/69a03e48-0d5a-46df-9cba-fbcc2c7a9dbc/OpportunityDetail?opportunityId=e5f20ceb-ecca-4c71-a03e-a1fd362432e8" TargetMode="External"/><Relationship Id="rId230" Type="http://schemas.openxmlformats.org/officeDocument/2006/relationships/hyperlink" Target="https://careers.ibm.com/fr_CA/careers/JobDetail?jobId=128825&amp;source=WEB_Search_NA" TargetMode="External"/><Relationship Id="rId468" Type="http://schemas.openxmlformats.org/officeDocument/2006/relationships/hyperlink" Target="https://emploi.hydroquebec.com/job/Stage-universitaire-D%C3%A9veloppement-de-programme-%28efficacit%C3%A9-%C3%A9nerg%C3%A9tique%29-Hiver-2027/188297-fr_FR" TargetMode="External"/><Relationship Id="rId25" Type="http://schemas.openxmlformats.org/officeDocument/2006/relationships/hyperlink" Target="https://www.linkedin.com/jobs/search-results/?currentJobId=4462898359&amp;eBP=CwEAAAGgg5pSwNYqD9M7QCN4feMu5oY8a2kM3cCTOnJC-RAZqtBWuFsdHTGAyus0dVl07jjcZwPRWQOZ8GdCMxxX6vSLVveN8sgTmsZ1dUaMU_s2RXHpYpkHqbLGkEA-puz-U4K-UVCAM70yh5sI2RdvdFrxKWdOrCdZhGGa8DpWca_g4H5hvLad4m4cH3j9C3-W5xtp0Z3wV7Cmqv9hgg7AG5UKOvlfwM-MY6oRnJHrUb8zEmuKgzRmPxMYAZmbQarAI7JwSJALEujaFbFHLLiX2neBEIqUwPkXlMcmAqita_yRn1ZA2YGVwW0VFM7xHAI6_XBnUy9xxn93E3V8ILxy-M8qhT9EdRUqp3mF9c7fHHV5o6LJHwgG31BTIRRnw6OEJmdS6heT-Y5G1I770ej5okNA3ztSbtre0-mPaJOBb41XignDuBfvcq6oXmUzLcG_y_TEvCo2lRSzh--YaBSpX3ugcDR9DHFrDZcdk1MMN2oYjQ&amp;refId=ipIvV5qEyvihhAd%2F1eFFow%3D%3D&amp;trackingId=g4yIkAjU%2BUZhSlN8EFap6g%3D%3D&amp;showHowYouFit=HOW_YOU_FIT&amp;keywords=stage%20en%20d%C3%A9veloppement%20logiciel&amp;origin=QUALIFICATION_LANDING&amp;geoId=90009543" TargetMode="External"/><Relationship Id="rId67" Type="http://schemas.openxmlformats.org/officeDocument/2006/relationships/hyperlink" Target="https://www.linkedin.com/jobs/search-results/?currentJobId=4461194798&amp;eBP=NOT_ELIGIBLE_FOR_CHARGING&amp;refId=KGaBqmUfqtwbontFfBXpZw%3D%3D&amp;trackingId=GkDX0jfrO49Zw%2F3zhxIyuw%3D%3D&amp;keywords=freshman%20intern%20software%20engineering&amp;origin=SEMANTIC_SEARCH_LANDING_PAGE" TargetMode="External"/><Relationship Id="rId272" Type="http://schemas.openxmlformats.org/officeDocument/2006/relationships/hyperlink" Target="https://careerscoopinternen-fgfbrands.icims.com/jobs/26839/it-technician-co-op-%28winter-2027%29/job" TargetMode="External"/><Relationship Id="rId328" Type="http://schemas.openxmlformats.org/officeDocument/2006/relationships/hyperlink" Target="https://careers.qualcomm.com/careers/job/446721143440" TargetMode="External"/><Relationship Id="rId132" Type="http://schemas.openxmlformats.org/officeDocument/2006/relationships/hyperlink" Target="https://www.epicgames.com/site/careers/jobs/6183401004" TargetMode="External"/><Relationship Id="rId174" Type="http://schemas.openxmlformats.org/officeDocument/2006/relationships/hyperlink" Target="https://careers.ibm.com/fr_CA/careers/JobDetail?jobId=128562&amp;source=WEB_Search_NA" TargetMode="External"/><Relationship Id="rId381" Type="http://schemas.openxmlformats.org/officeDocument/2006/relationships/hyperlink" Target="https://emploi.hydroquebec.com/job/Stage-universitaire-Informatique-de-gestion-Hiver-2027/188608-fr_FR" TargetMode="External"/><Relationship Id="rId241" Type="http://schemas.openxmlformats.org/officeDocument/2006/relationships/hyperlink" Target="https://careers.ibm.com/fr_CA/careers/JobDetail?jobId=128827&amp;source=WEB_Search_NA" TargetMode="External"/><Relationship Id="rId437" Type="http://schemas.openxmlformats.org/officeDocument/2006/relationships/hyperlink" Target="https://cgi.njoyn.com/CORP/xweb/xweb.asp?NTKN=c&amp;clid=21001&amp;Page=JobDetails&amp;Jobid=J0926-1036&amp;BRID=1335762&amp;lang=1" TargetMode="External"/><Relationship Id="rId479" Type="http://schemas.openxmlformats.org/officeDocument/2006/relationships/hyperlink" Target="https://emploi.hydroquebec.com/job/Stage-universitaire-Analyse-de-donn%C3%A9es-Hiver-2027/188411-fr_FR" TargetMode="External"/><Relationship Id="rId36" Type="http://schemas.openxmlformats.org/officeDocument/2006/relationships/hyperlink" Target="https://www.linkedin.com/jobs/view/4404519706/?trackingId=w8Aw4TqFZ4A%2FgTsjy8ygOw%3D%3D&amp;refId=KGaBqmUfqtwbontFfBXpZw%3D%3D&amp;eBP=CwEAAAGgg51nvdpkZS14I6tcm6mOl2asbCOM770yAkh3btp34mvT0SbMUvB5C1ZrSR4QvCOZ2spHt4XVT9MHY-eUFLinUszdoxgMc87WdowcEuoUnUWHlku8O7qSd9MODBTi3iuhnhYqpjbKU_6tO9rAQqcprOMfwDSd9TD1QTaD0JKftCVO2Oys3l0KQbcS6q3DfpNzVQGE6GNzqvzR1BLIFU98w8Pxmjr_ctRHKO_L4dm5CzT0IgRL-aX1hyfAlmY1uYeysGI1VpYllebAPMkohheZGxzL3r6w4O5oacuZcrNWmk-EQ9kjx5LvwhxlvqgMnSwb6n3jm-HLhQg_j-WhrOW7dBFqXMVozxIr7dkq9vXNUQfNiMMwlg4yLEVru4uj4GIQmr9EM5WauX-C4Oi6uy7sju_juJGcCvbA-eddXFyVFv-9ZcXzhMcC_A3I5dOpqoritfFiOAqpD06EsKaC_pEdqOaUTlmldCdn&amp;alternateChannel=search&amp;isJobSearch=false" TargetMode="External"/><Relationship Id="rId283" Type="http://schemas.openxmlformats.org/officeDocument/2006/relationships/hyperlink" Target="https://myfuture.mcgill.ca/myAccount/opportunities/internshipscoop/postings.htm" TargetMode="External"/><Relationship Id="rId339" Type="http://schemas.openxmlformats.org/officeDocument/2006/relationships/hyperlink" Target="https://careers.qualcomm.com/careers/job/446721156800" TargetMode="External"/><Relationship Id="rId490" Type="http://schemas.openxmlformats.org/officeDocument/2006/relationships/hyperlink" Target="https://emploi.hydroquebec.com/job/Stage-universitaire-Technologies-num%C3%A9riques-D%C3%A9veloppement-Hiver-2027/189043-fr_FR" TargetMode="External"/><Relationship Id="rId78" Type="http://schemas.openxmlformats.org/officeDocument/2006/relationships/hyperlink" Target="https://www.linkedin.com/jobs/view/4463524795/?trackingId=AD1RgszIlWBckl%2FGHYd2QQ%3D%3D&amp;refId=c%2Fg0DEk%2BjRgXcGAgk%2FOiSw%3D%3D&amp;eBP=CwEAAAGgg58aZtv6F_bmbTHruI9CT_ePoDgh8FWujprt_edQv0EJw1YFBRWNECvfSQGjvIOHwRVa7l5ZSqb1Lh9p8KyW_mLRb5C0ulfwD9NKY1rP4A8YXoOdh5pf5zHs1CpV_jJrAwg7kMkGuU9NmBmIMeL8aCS3XeVML_hUI8fvUXvMWFjKvWmfiUVHVb9cc_UgoHoaDlOJzRi85CfB1tEqCKSsqO0BCH5p0qz7oimbAvv2vtPc1ZnNirDxZvfYCbYAEL0iI3cPfEzvhp-W2NI6Sn9OtAoeq2AlnDD27Ge8yjc1EiTCLwzSe3gZMq34r3puv3ANQnCm1dLbhcwCpOUz3Fc00RtTdGHZHlH7qVLIOZMl1XNY-jCxFYm9ilD9T-TRQutUZqR6SQ-EQbX04HW3wLz7f_HNrNaY1pnId_IzBg_bPs32Csy8c73oH0WffcnqtMl22OP-oAnE7dqWMUlgBBoYdkRYdfxCA3QVt5p6hYDzKJfk5g&amp;alternateChannel=search&amp;isJobSearch=false" TargetMode="External"/><Relationship Id="rId101" Type="http://schemas.openxmlformats.org/officeDocument/2006/relationships/hyperlink" Target="https://www.linkedin.com/jobs/view/4450344703/?trackingId=FYAoAdBgWs2rBdcyCA7lrw%3D%3D&amp;refId=0yvpgDSnmqqwfJ%2FA7hfqmw%3D%3D&amp;eBP=CwEAAAGgg6BhFg_-bL05Pr5fOQPJdyjyzqp5BQr3MbwPn-1NL06v5MNi2OcWiQQdTpStbXklMUJISKkpuaLeQQY-B9Wr2hv10x5-z4Q7H27y_cjQeo6Ks3R-N9cbRCZHFoHGMY3m80YHO_eOebXoxDrZfX4XEcw7ur6cMMKaLMoqV8ZbagR48Tsu-hrSsb2_JWm41ga1rwQrkzgC3vaZzLUtqhlXz2SeF0AArq3kaSDdODCjHFFJ2VpiUk7Ct6mKLKPyFQRlMDwWEjpO0rhkEI_lLmMCR3FdQw_jvis962t4JnDlDtzL6LhNG7fL5UVZ0vpn-rqVDJ1xsystkxc4pliZQZ-kSMR0ucpqFvj4XWwyvL6IB3jXYkQ9FVm64vTEntB_sVVWMK7f84GkeCkpxVW_m_mc9wUhA1O03tpfmTHDnWBCj1cCdGWfbQZVwJjCJ7CjwpcEqd0jW_iZbo-RBiDzUV4yB9ZyeHtY_8dyjpk&amp;alternateChannel=search&amp;isJobSearch=false" TargetMode="External"/><Relationship Id="rId143" Type="http://schemas.openxmlformats.org/officeDocument/2006/relationships/hyperlink" Target="https://careers.ibm.com/fr_CA/careers/JobDetail?jobId=131307&amp;source=WEB_Search_NA" TargetMode="External"/><Relationship Id="rId185" Type="http://schemas.openxmlformats.org/officeDocument/2006/relationships/hyperlink" Target="https://careers.ibm.com/fr_CA/careers/JobDetail?jobId=131828&amp;source=WEB_Search_NA" TargetMode="External"/><Relationship Id="rId350" Type="http://schemas.openxmlformats.org/officeDocument/2006/relationships/hyperlink" Target="https://careers.qualcomm.com/careers/job/446721142985" TargetMode="External"/><Relationship Id="rId406" Type="http://schemas.openxmlformats.org/officeDocument/2006/relationships/hyperlink" Target="https://www.famictech.com/en/Company/Careers/Internships" TargetMode="External"/><Relationship Id="rId9" Type="http://schemas.openxmlformats.org/officeDocument/2006/relationships/hyperlink" Target="https://careers.beenox.com/us/en/job/R027943/Stagiaire-Design-de-syst%C3%A8me-Beenox-Hiver-2027" TargetMode="External"/><Relationship Id="rId210" Type="http://schemas.openxmlformats.org/officeDocument/2006/relationships/hyperlink" Target="https://careers.ibm.com/fr_CA/careers/JobDetail?jobId=128818&amp;source=WEB_Search_NA" TargetMode="External"/><Relationship Id="rId392" Type="http://schemas.openxmlformats.org/officeDocument/2006/relationships/hyperlink" Target="https://emploi.hydroquebec.com/job/Stage-universitaire-Technologies-num%C3%A9riques-Gestion-de-projets-Hiver-2027/188916-fr_FR" TargetMode="External"/><Relationship Id="rId448" Type="http://schemas.openxmlformats.org/officeDocument/2006/relationships/hyperlink" Target="https://career17.sapsf.com/portalcareer?_s.crb=BOFeYB0lJXzLlrwxTm71dqklHopkD61Qu8XjmkISPiQ%253d" TargetMode="External"/><Relationship Id="rId252" Type="http://schemas.openxmlformats.org/officeDocument/2006/relationships/hyperlink" Target="https://careers.ibm.com/fr_CA/careers/JobDetail?jobId=128818&amp;source=WEB_Search_NA" TargetMode="External"/><Relationship Id="rId294" Type="http://schemas.openxmlformats.org/officeDocument/2006/relationships/hyperlink" Target="https://bci.wd10.myworkdayjobs.com/en-US/BCI_Careers/details/DevSecOps-Engineer-Co-op-Internship--Winter-2027---Summer-2027-_JR101591" TargetMode="External"/><Relationship Id="rId308" Type="http://schemas.openxmlformats.org/officeDocument/2006/relationships/hyperlink" Target="https://jobs.smartrecruiters.com/oneclick-ui/company/GDMSI/publication/8b87786e-2a72-4469-aba9-bd3a491abb5a?dcr_ci=GDMSI&amp;vq_campaign=faa8277b-d921-542a-a92d-4a65366f9ddc&amp;vq_source=54851605-81a3-4507-a744-1b28be5be283&amp;igbTracker=962609396&amp;utm_source=mcgilluniversity" TargetMode="External"/><Relationship Id="rId47" Type="http://schemas.openxmlformats.org/officeDocument/2006/relationships/hyperlink" Target="https://www.linkedin.com/company/intact/life/" TargetMode="External"/><Relationship Id="rId89" Type="http://schemas.openxmlformats.org/officeDocument/2006/relationships/hyperlink" Target="https://www.linkedin.com/company/huawei-technologies-canada-co-ltd/life/" TargetMode="External"/><Relationship Id="rId112" Type="http://schemas.openxmlformats.org/officeDocument/2006/relationships/hyperlink" Target="https://www.linkedin.com/company/zed-digital/life/" TargetMode="External"/><Relationship Id="rId154" Type="http://schemas.openxmlformats.org/officeDocument/2006/relationships/hyperlink" Target="https://careers.ibm.com/fr_CA/careers/JobDetail?jobId=128513&amp;source=WEB_Search_NA" TargetMode="External"/><Relationship Id="rId361" Type="http://schemas.openxmlformats.org/officeDocument/2006/relationships/hyperlink" Target="https://flexspring.bamboohr.com/careers/68" TargetMode="External"/><Relationship Id="rId196" Type="http://schemas.openxmlformats.org/officeDocument/2006/relationships/hyperlink" Target="https://careers.ibm.com/fr_CA/careers/JobDetail?jobId=129628&amp;source=WEB_Search_NA" TargetMode="External"/><Relationship Id="rId417" Type="http://schemas.openxmlformats.org/officeDocument/2006/relationships/hyperlink" Target="https://recruiting.ultipro.ca/MAT5002MARX/JobBoard/69a03e48-0d5a-46df-9cba-fbcc2c7a9dbc/OpportunityDetail?opportunityId=5d3c3530-7ef4-4f2d-918b-79e18981643c" TargetMode="External"/><Relationship Id="rId459" Type="http://schemas.openxmlformats.org/officeDocument/2006/relationships/hyperlink" Target="https://emploi.hydroquebec.com/job/Stage-universitaire-Informatique-Hiver-2027/188648-fr_FR" TargetMode="External"/><Relationship Id="rId16" Type="http://schemas.openxmlformats.org/officeDocument/2006/relationships/hyperlink" Target="https://www.linkedin.com/jobs/search-results/?currentJobId=4462711111&amp;eBP=NON_CHARGEABLE_CHANNEL&amp;refId=zhOnMBjjWlbK3gav40iXgA%3D%3D&amp;trackingId=Yf64mg9A9DkG2TgLpDPh%2Fw%3D%3D&amp;showHowYouFit=HOW_YOU_FIT&amp;keywords=stage%20en%20d%C3%A9veloppement%20logiciel&amp;origin=QUALIFICATION_LANDING&amp;geoId=90009543" TargetMode="External"/><Relationship Id="rId221" Type="http://schemas.openxmlformats.org/officeDocument/2006/relationships/hyperlink" Target="https://careers.ibm.com/fr_CA/careers/JobDetail?jobId=128742&amp;source=WEB_Search_NA" TargetMode="External"/><Relationship Id="rId263" Type="http://schemas.openxmlformats.org/officeDocument/2006/relationships/hyperlink" Target="https://jobs.lever.co/xsolla/1c0e5375-2352-4a2c-a816-48ddebbdd3d6" TargetMode="External"/><Relationship Id="rId319" Type="http://schemas.openxmlformats.org/officeDocument/2006/relationships/hyperlink" Target="https://jobs.dayforcehcm.com/en-US/mydayforce/InternshipsandCoops/jobs/102413" TargetMode="External"/><Relationship Id="rId470" Type="http://schemas.openxmlformats.org/officeDocument/2006/relationships/hyperlink" Target="https://emploi.hydroquebec.com/job/Stage-universitaire-Recherche-et-d%C3%A9veloppement-Hiver-2027/188302-fr_FR" TargetMode="External"/><Relationship Id="rId58" Type="http://schemas.openxmlformats.org/officeDocument/2006/relationships/hyperlink" Target="https://www.linkedin.com/jobs/search-results/?currentJobId=4451944512&amp;eBP=CwEAAAGgg51nvbX7PN6TRWBaimWvhwcgggapKhOan0Yz3R70YE1bG4I-R9vh3NPd5dcvpy1D4-etHnLDrzA4Pkf1LeSSU0kp3hR3idVLKW41BhpnFPD_-AGtiuCIqiNeNWX5EY7ovMtI1mPUixmkEaihw9Q7ETqSC_CwU_YisIgp9dFBL1eXwCdPxik8DLCHZc-kbwZu_nc8JYHhZp8Tx4LR9LiboWHXj_2v3G5XaHxLxmQViiE--CHpZzsBLIFZLTsK3EH5YtLYSdOZNiR63gTMGIfr2UF5lfrxWcyw2iwM2IoURoZxQT3Aqaze0E8QGea5w0-NO0qPHJvbq5qesDcNNOdzE4aCvH0jwm0e1AMiqj2WY3iu_7R0mdJzndXZ4gYVTWPfwVsrFLbq2Ba-TWpolUYozu_bK6uCksLxfF9gCqlHb-5hsJ5JuSdw6SgqMzZ02DOkGuurlZT_Igm6T7KvPOv91879Fso9rp2P&amp;refId=KGaBqmUfqtwbontFfBXpZw%3D%3D&amp;trackingId=y2O0pUPhxVDpfAC71Q8chA%3D%3D&amp;keywords=freshman%20intern%20software%20engineering&amp;origin=SEMANTIC_SEARCH_LANDING_PAGE" TargetMode="External"/><Relationship Id="rId123" Type="http://schemas.openxmlformats.org/officeDocument/2006/relationships/hyperlink" Target="https://www.epicgames.com/site/careers/jobs/6183293004" TargetMode="External"/><Relationship Id="rId330" Type="http://schemas.openxmlformats.org/officeDocument/2006/relationships/hyperlink" Target="https://careers.qualcomm.com/careers/job/446721229661" TargetMode="External"/><Relationship Id="rId165" Type="http://schemas.openxmlformats.org/officeDocument/2006/relationships/hyperlink" Target="https://careers.ibm.com/fr_CA/careers/JobDetail?jobId=128716&amp;source=WEB_Search_NA" TargetMode="External"/><Relationship Id="rId372" Type="http://schemas.openxmlformats.org/officeDocument/2006/relationships/hyperlink" Target="https://emploi.hydroquebec.com/job/Stage-universitaire-Technologies-num%C3%A9riques-Cybers%C3%A9curit%C3%A9-Hiver-2027/188478-fr_FR" TargetMode="External"/><Relationship Id="rId428" Type="http://schemas.openxmlformats.org/officeDocument/2006/relationships/hyperlink" Target="https://altencanada.com/carriere/" TargetMode="External"/><Relationship Id="rId232" Type="http://schemas.openxmlformats.org/officeDocument/2006/relationships/hyperlink" Target="https://careers.ibm.com/fr_CA/careers/JobDetail?jobId=128810&amp;source=WEB_Search_NA" TargetMode="External"/><Relationship Id="rId274" Type="http://schemas.openxmlformats.org/officeDocument/2006/relationships/hyperlink" Target="https://careerscoopinternen-fgfbrands.icims.com/jobs/26847/data-engineer-analytics-and-bi-co-op-%28winter-2027%29/job" TargetMode="External"/><Relationship Id="rId481" Type="http://schemas.openxmlformats.org/officeDocument/2006/relationships/hyperlink" Target="https://emploi.hydroquebec.com/job/Stage-universitaire-Administration-des-syst%C3%A8mes-et-des-infrastructures-TI-Hiver-2027/188617-fr_FR" TargetMode="External"/><Relationship Id="rId27" Type="http://schemas.openxmlformats.org/officeDocument/2006/relationships/hyperlink" Target="https://www.linkedin.com/jobs/view/4462889469/?trackingId=kL8g5ouEyDi%2FXZDyifXdNQ%3D%3D&amp;refId=ipIvV5qEyvihhAd%2F1eFFow%3D%3D&amp;eBP=CwEAAAGgg5pSwBg5tNL5L-cpZ9w1Jc1fl3-raI_c40O4LWhPz1rG524PfuvbYfy4ou5H8TbGgGEXBJ6Sq15f770CDv_RNjkjF0A2t2NT2_rLui2qxr7LANvQZsdd8Rn0X5QAqp0q_Ub3LVPX9-5H8TKlNID2sUVndCW_ndWRU__dXATmhYP1IS0x9PdL0yxP9fS0MnXDPMyeAwJqdrVuzswnCturCkIC-N9e3GgcijgTPjXEHCLMgrr4VX7vSr6J33B7fSYwEVqWzpRKFuzYjWOiJpaWSgkYc_x_o3dFvNtNjK8tqBl-2OOgrgiFXBHcgd-XLwOLpq_GBFHjQT0MPV7XbmA8pYNTqAj5eKxE-43odFq5o3O821tNsFd9zcaDd4FHwg94tJ1jI9_8H8LU2M2tkNkNuvOTzkbmGWETptT3hENLHTO06ie0ccg72pFmqjQbvwfsszO9IF-FAsp3O-UAqtcbR_X9aTfRqWmB5r3kETEEyqmt&amp;alternateChannel=search&amp;isJobSearch=false" TargetMode="External"/><Relationship Id="rId69" Type="http://schemas.openxmlformats.org/officeDocument/2006/relationships/hyperlink" Target="https://www.linkedin.com/jobs/view/4458029550/?trackingId=UQcuwsH%2FVNW95D4EdtdGiA%3D%3D&amp;refId=c%2Fg0DEk%2BjRgXcGAgk%2FOiSw%3D%3D&amp;eBP=CwEAAAGgg58aZu3EJlCxkSN5hD7FtRl1ksLtwpynTAeU2uq35UfHrZloFZ7Lx-nmNIFHjd7mGo61khR-4N0vErTvNqkK4DpiwQEyreEMjjqyXoY6KwtpPTw69JaFQIxMWQ8Z4AtscSDD-LRLYyXnAr5iYlgTd7Us7tjjYqL1StemEguyCd-eTDYiWYBIOYEwrqz2X1FAOkGcqjkEOapRvOozwfxz-MR_xmW_83kWfDBh1BYR-xgrbZdKvg90nQz7Hj1DY53-d-dDBAwMdK9xNUsWa3-beyoWsLHMR1U4_8Apj13UUyebA_3RY2yhXtuwdrrvfZ0AxcdoWgM7LOcsPFMEnvwBkrga4IIfQOgJ6ibM5Uc2B3o6GTjkHDzwN-3fdoruqTUZXKaDCzrheG456DFWWXpBasXDcqXrzM-JkTfELnFtt21wd8id4BSXrB3hHBd8AZZ9-ti3kkcH3ucuK3ZfdtIfli8-t1w8KY4xG9NV_FRvn-o&amp;alternateChannel=search&amp;isJobSearch=false" TargetMode="External"/><Relationship Id="rId134" Type="http://schemas.openxmlformats.org/officeDocument/2006/relationships/hyperlink" Target="https://www.epicgames.com/site/careers/jobs/6163851004" TargetMode="External"/><Relationship Id="rId80" Type="http://schemas.openxmlformats.org/officeDocument/2006/relationships/hyperlink" Target="https://www.linkedin.com/company/pratt-&amp;-whitney/life/" TargetMode="External"/><Relationship Id="rId176" Type="http://schemas.openxmlformats.org/officeDocument/2006/relationships/hyperlink" Target="https://careers.ibm.com/fr_CA/careers/JobDetail?jobId=130142&amp;source=WEB_Search_NA" TargetMode="External"/><Relationship Id="rId341" Type="http://schemas.openxmlformats.org/officeDocument/2006/relationships/hyperlink" Target="https://careers.qualcomm.com/careers/job/446721156176" TargetMode="External"/><Relationship Id="rId383" Type="http://schemas.openxmlformats.org/officeDocument/2006/relationships/hyperlink" Target="https://emploi.hydroquebec.com/job/Stage-universitaire-Informatique-de-gestion-Hiver-2027/188307-fr_FR" TargetMode="External"/><Relationship Id="rId439" Type="http://schemas.openxmlformats.org/officeDocument/2006/relationships/hyperlink" Target="https://cgi.njoyn.com/CORP/xweb/xweb.asp?NTKN=c&amp;clid=21001&amp;Page=JobDetails&amp;Jobid=J0926-1020&amp;BRID=1335748&amp;lang=1" TargetMode="External"/><Relationship Id="rId201" Type="http://schemas.openxmlformats.org/officeDocument/2006/relationships/hyperlink" Target="https://careers.ibm.com/fr_CA/careers/JobDetail?jobId=128797&amp;source=WEB_Search_NA" TargetMode="External"/><Relationship Id="rId243" Type="http://schemas.openxmlformats.org/officeDocument/2006/relationships/hyperlink" Target="https://careers.ibm.com/fr_CA/careers/JobDetail?jobId=128772&amp;source=WEB_Search_NA" TargetMode="External"/><Relationship Id="rId285" Type="http://schemas.openxmlformats.org/officeDocument/2006/relationships/hyperlink" Target="https://careerscoopinternen-fgfbrands.icims.com/jobs/26930/engineering-technician-intern---process-%28winter-2027%29/job" TargetMode="External"/><Relationship Id="rId450" Type="http://schemas.openxmlformats.org/officeDocument/2006/relationships/hyperlink" Target="https://career17.sapsf.com/portalcareer?_s.crb=BOFeYB0lJXzLlrwxTm71dqklHopkD61Qu8XjmkISPiQ%253d" TargetMode="External"/><Relationship Id="rId38" Type="http://schemas.openxmlformats.org/officeDocument/2006/relationships/hyperlink" Target="https://www.linkedin.com/company/exfo/life/" TargetMode="External"/><Relationship Id="rId103" Type="http://schemas.openxmlformats.org/officeDocument/2006/relationships/hyperlink" Target="https://www.linkedin.com/company/yelp-com/life/" TargetMode="External"/><Relationship Id="rId310" Type="http://schemas.openxmlformats.org/officeDocument/2006/relationships/hyperlink" Target="https://intelcomgroup.wd3.myworkdayjobs.com/en-US/Intelcom/job/Software-Development-Intern---Address-Intelligence-Platform_JR111611" TargetMode="External"/><Relationship Id="rId492" Type="http://schemas.openxmlformats.org/officeDocument/2006/relationships/hyperlink" Target="https://emploi.hydroquebec.com/job/Stage-universitaire-Gestion-des-op%C3%A9rations-Hiver-2027/188280-fr_FR" TargetMode="External"/><Relationship Id="rId91" Type="http://schemas.openxmlformats.org/officeDocument/2006/relationships/hyperlink" Target="https://www.linkedin.com/jobs/search-results/?currentJobId=4220492098&amp;eBP=NOT_ELIGIBLE_FOR_CHARGING&amp;refId=0yvpgDSnmqqwfJ%2FA7hfqmw%3D%3D&amp;trackingId=4XuMVWhpnqlLtrXnMQvohA%3D%3D&amp;keywords=freshman%20intern%20software%20engineering&amp;origin=SEMANTIC_SEARCH_LANDING_PAGE&amp;start=50" TargetMode="External"/><Relationship Id="rId145" Type="http://schemas.openxmlformats.org/officeDocument/2006/relationships/hyperlink" Target="https://careers.ibm.com/fr_CA/careers/JobDetail?jobId=130144&amp;source=WEB_Search_NA" TargetMode="External"/><Relationship Id="rId187" Type="http://schemas.openxmlformats.org/officeDocument/2006/relationships/hyperlink" Target="https://careers.ibm.com/fr_CA/careers/JobDetail?jobId=129637&amp;source=WEB_Search_NA" TargetMode="External"/><Relationship Id="rId352" Type="http://schemas.openxmlformats.org/officeDocument/2006/relationships/hyperlink" Target="https://jobs.lever.co/veeva/85fe3393-f296-4463-88a2-5454c6ba334b" TargetMode="External"/><Relationship Id="rId394" Type="http://schemas.openxmlformats.org/officeDocument/2006/relationships/hyperlink" Target="https://emploi.hydroquebec.com/job/Stage-universitaire-Technologies-num%C3%A9riques-G%C3%A9nie-logiciel-Hiver-2027/188897-fr_FR" TargetMode="External"/><Relationship Id="rId408" Type="http://schemas.openxmlformats.org/officeDocument/2006/relationships/hyperlink" Target="https://ipconsul.com/en/about/career/" TargetMode="External"/><Relationship Id="rId212" Type="http://schemas.openxmlformats.org/officeDocument/2006/relationships/hyperlink" Target="https://careers.ibm.com/fr_CA/careers/JobDetail?jobId=128709&amp;source=WEB_Search_NA" TargetMode="External"/><Relationship Id="rId254" Type="http://schemas.openxmlformats.org/officeDocument/2006/relationships/hyperlink" Target="https://careers.ibm.com/fr_CA/careers/JobDetail?jobId=129628&amp;source=WEB_Search_NA" TargetMode="External"/><Relationship Id="rId49" Type="http://schemas.openxmlformats.org/officeDocument/2006/relationships/hyperlink" Target="https://www.linkedin.com/jobs/search-results/?currentJobId=4463548250&amp;eBP=CwEAAAGgg51nvci9OkLe_L7s_jJVGNHurAdoNkyHYRDe991W5r3AqwQO1PzjeU_WOzQkLKlS5VPv324tF3iqfHkLtHRxHjrNkItu5rERexJuDk3-g_q2hZQuUuhsJYp0oVG2in59ta2Oyw965c7cMIfxk1Um056_d29eQgNItMhZy_Mzq8alehMI7XUKMin_NMbsRRoWvPRfB4ZbvU-BOUZpA_BEuhu7-05_YGE4Zneo9XtNCv3e-hdrIUQCuRHVh8Z5cuyDU6MuwgT_Qg2BOXGn5YnU3BUpZmkJTbGyroii2jCAjsiLhWs2TGV5NEy3qXKLc2Bqz_HvpY9XvaS1dj3eMBHdHP_-Sqx1F4S3DEhzSj0v-xJoyRYrkTcoqRVQFRWjt2mUXXaz-eFuUaUqVVxXKl7s1waC0ZG0A-LdPXVx2jtewrWg5L80cEnWartk-2-8MJwoUCUccwQNIUTYR0Ut_PS2qoh_2IL1TYXMcfxO2w&amp;refId=KGaBqmUfqtwbontFfBXpZw%3D%3D&amp;trackingId=tArbCkiY4jd7nzWSskffPw%3D%3D&amp;keywords=freshman%20intern%20software%20engineering&amp;origin=SEMANTIC_SEARCH_LANDING_PAGE" TargetMode="External"/><Relationship Id="rId114" Type="http://schemas.openxmlformats.org/officeDocument/2006/relationships/hyperlink" Target="https://www.linkedin.com/jobs/search-results/?currentJobId=4319888047&amp;eBP=NOT_ELIGIBLE_FOR_CHARGING&amp;refId=H6o4pxawrkb3Pa15PnEvqg%3D%3D&amp;trackingId=Wb0zGULuHMuOt7mRasDK1Q%3D%3D&amp;keywords=freshman%20intern%20software%20engineering&amp;origin=SEMANTIC_SEARCH_LANDING_PAGE&amp;start=75" TargetMode="External"/><Relationship Id="rId296" Type="http://schemas.openxmlformats.org/officeDocument/2006/relationships/hyperlink" Target="https://bci.wd10.myworkdayjobs.com/en-US/BCI_Careers/details/Platform-Engineer-ServiceNow-Co-op-Internship--Winter-2027---Summer-2027-_JR101585" TargetMode="External"/><Relationship Id="rId461" Type="http://schemas.openxmlformats.org/officeDocument/2006/relationships/hyperlink" Target="https://emploi.hydroquebec.com/job/Stage-universitaire-Robotique-et-syst%C3%A8mes-automatis%C3%A9s-%28profil-multidisciplinaire%29-Hiver-2027/188654-fr_FR" TargetMode="External"/><Relationship Id="rId60" Type="http://schemas.openxmlformats.org/officeDocument/2006/relationships/hyperlink" Target="https://www.linkedin.com/jobs/view/4460643431/?trackingId=F07c%2F5NEu8n5%2BAbDfPRmYA%3D%3D&amp;refId=KGaBqmUfqtwbontFfBXpZw%3D%3D&amp;eBP=CwEAAAGgg51nveDyhohUQfW-YPoK-CXMiGGXlEWwobJJaUSVxc_bdpnXcwGC_Vhn1ossNrOrGMOdJZXPmKUh05-mQWSflP2b9jZ3rdf68JcO2IkvUOjk576Xewq-JP3vLHCaR4792KhJPPeXsx8d-9tFDNYLYT1x-JWWPDbx-nRCskxiBbuuE-sA48OtVeIGjcGsiu_D22y5d0PAn79CzpsfIfMy7wg0w1obu8UEpGxLp1I_NZkUz1AS-xMyN4DxyP-4-MTtOxmThcNSInVXGin577aNsbOgUvecYS-dIL62QsvwYEABSaYzZviGH_ySjzBSJUBPICUTkRUasKKixxosbFsw01l3Mr74tr3w_Y59TEPHMjWqXUhdJWdkIeJJdDJXzrLiG72POHVMsH5KPeVZppOHjBHilcthFMvK3b882x0YdVMoObcSgXCHxuY31Ty3xfNzCRzuhp-cJdfl7xRHmXwPZwWvTCfHLskV_2XGVw&amp;alternateChannel=search&amp;isJobSearch=false" TargetMode="External"/><Relationship Id="rId156" Type="http://schemas.openxmlformats.org/officeDocument/2006/relationships/hyperlink" Target="https://careers.ibm.com/fr_CA/careers/JobDetail?jobId=129910&amp;source=WEB_Search_NA" TargetMode="External"/><Relationship Id="rId198" Type="http://schemas.openxmlformats.org/officeDocument/2006/relationships/hyperlink" Target="https://careers.ibm.com/fr_CA/careers/JobDetail?jobId=129781&amp;source=WEB_Search_NA" TargetMode="External"/><Relationship Id="rId321" Type="http://schemas.openxmlformats.org/officeDocument/2006/relationships/hyperlink" Target="https://jobs.dayforcehcm.com/en-US/mydayforce/InternshipsandCoops/jobs/102395" TargetMode="External"/><Relationship Id="rId363" Type="http://schemas.openxmlformats.org/officeDocument/2006/relationships/hyperlink" Target="https://www.tourmalineoil.com/careers/data-and-analytics-intern-student" TargetMode="External"/><Relationship Id="rId419" Type="http://schemas.openxmlformats.org/officeDocument/2006/relationships/hyperlink" Target="https://recruiting.ultipro.ca/MAT5002MARX/JobBoard/69a03e48-0d5a-46df-9cba-fbcc2c7a9dbc/OpportunityDetail?opportunityId=2dc61798-9c1d-4642-a02f-258a2099fdc9" TargetMode="External"/><Relationship Id="rId223" Type="http://schemas.openxmlformats.org/officeDocument/2006/relationships/hyperlink" Target="https://careers.ibm.com/fr_CA/careers/JobDetail?jobId=127714&amp;source=WEB_Search_NA" TargetMode="External"/><Relationship Id="rId430" Type="http://schemas.openxmlformats.org/officeDocument/2006/relationships/hyperlink" Target="https://brimfinancial.com/careers?jobId=840641b6-dd54-c100-145d-58d344e979bb" TargetMode="External"/><Relationship Id="rId18" Type="http://schemas.openxmlformats.org/officeDocument/2006/relationships/hyperlink" Target="https://www.linkedin.com/jobs/search-results/?currentJobId=4404524700&amp;eBP=CwEAAAGgg5pSv4oz6YkxsRSimOMynrE15Dr9NldYTL9B1VqojtBWISMuNrxAVSiSINSZKqXyeHNRf0rpc4FvAagxozGXI7MAEwu8iJXumyPIs4ql3bPemXR-oFYKuFKN5-MZjFjGR2fCarDuR55ECelTz_DZktyrSeC8ZGBRgXXaNC1bM8vyiO2LHlfT4HPPWngt2m-bMpun5N67a9xvF4r1h9vQIwSQUc2jfTLOfhiHrzrjDR_JDmjCOYdWBdUEtMJvMpNYgUeK2fvZVFNzmd8y0ikURckoAK_Y7fdghdU0B54QttBwwn1X2zHkpMK6gP6ffBs0mMX8AkbFcK5KJq4vm0IZ8JVqHWeBxA8K9kK074nIgXU_e-KNYOVOBkFbLHCAFY9qbi5SWMP-Sy9Iz3BIeUDgeF_Yk3oMrvbv7Xj08VczV-jzWzzVA2WCkoz66XN9CnDastoE7s53BuQiiah7pLBgUc9oWJbTTKBQaDl8n8j2jg&amp;refId=ipIvV5qEyvihhAd%2F1eFFow%3D%3D&amp;trackingId=NnzoMrxNSbzBDGgPw4aQlw%3D%3D&amp;showHowYouFit=HOW_YOU_FIT&amp;keywords=stage%20en%20d%C3%A9veloppement%20logiciel&amp;origin=QUALIFICATION_LANDING&amp;geoId=90009543" TargetMode="External"/><Relationship Id="rId265" Type="http://schemas.openxmlformats.org/officeDocument/2006/relationships/hyperlink" Target="https://intactfc.wd3.myworkdayjobs.com/en-US/intactfc/job/Montral-Quebec-CAN/Android-Developer--4-months-Internship-Coop--Winter-2027---_R155691?workerSubType=614baa0178de1001234b4aeefbfe0001" TargetMode="External"/><Relationship Id="rId472" Type="http://schemas.openxmlformats.org/officeDocument/2006/relationships/hyperlink" Target="https://emploi.hydroquebec.com/job/Stage-universitaire-Informatique-de-gestion-Hiver-2027/188307-fr_FR" TargetMode="External"/><Relationship Id="rId125" Type="http://schemas.openxmlformats.org/officeDocument/2006/relationships/hyperlink" Target="https://www.epicgames.com/site/careers/jobs/6173862004" TargetMode="External"/><Relationship Id="rId167" Type="http://schemas.openxmlformats.org/officeDocument/2006/relationships/hyperlink" Target="https://careers.ibm.com/fr_CA/careers/JobDetail?jobId=129783&amp;source=WEB_Search_NA" TargetMode="External"/><Relationship Id="rId332" Type="http://schemas.openxmlformats.org/officeDocument/2006/relationships/hyperlink" Target="https://careers.qualcomm.com/careers/job/446721109168" TargetMode="External"/><Relationship Id="rId374" Type="http://schemas.openxmlformats.org/officeDocument/2006/relationships/hyperlink" Target="https://emploi.hydroquebec.com/job/Stage-universitaire-Technologies-num%C3%A9riques-D%C3%A9veloppement-Hiver-2027/189043-fr_FR" TargetMode="External"/><Relationship Id="rId71" Type="http://schemas.openxmlformats.org/officeDocument/2006/relationships/hyperlink" Target="https://www.linkedin.com/company/bell-flight/life/" TargetMode="External"/><Relationship Id="rId234" Type="http://schemas.openxmlformats.org/officeDocument/2006/relationships/hyperlink" Target="https://careers.ibm.com/fr_CA/careers/JobDetail?jobId=128527&amp;source=WEB_Search_NA" TargetMode="External"/><Relationship Id="rId2" Type="http://schemas.openxmlformats.org/officeDocument/2006/relationships/hyperlink" Target="https://emplois.carrieres.gouv.qc.ca/plateforme-emploi/libre-service/offres-emploi/poste/22229" TargetMode="External"/><Relationship Id="rId29" Type="http://schemas.openxmlformats.org/officeDocument/2006/relationships/hyperlink" Target="https://www.linkedin.com/company/flare-io/life/" TargetMode="External"/><Relationship Id="rId276" Type="http://schemas.openxmlformats.org/officeDocument/2006/relationships/hyperlink" Target="https://careerscoopinternen-fgfbrands.icims.com/jobs/26848/ai-solutions-engineer-co-op-%28winter-2027%29/job" TargetMode="External"/><Relationship Id="rId441" Type="http://schemas.openxmlformats.org/officeDocument/2006/relationships/hyperlink" Target="https://cgi.njoyn.com/CORP/xweb/xweb.asp?NTKN=c&amp;clid=21001&amp;Page=JobDetails&amp;Jobid=J0926-1458&amp;BRID=1334106&amp;lang=1" TargetMode="External"/><Relationship Id="rId483" Type="http://schemas.openxmlformats.org/officeDocument/2006/relationships/hyperlink" Target="https://emploi.hydroquebec.com/job/Stage-universitaire-Gestion-des-op%C3%A9rations-Hiver-2027/188317-fr_FR" TargetMode="External"/><Relationship Id="rId40" Type="http://schemas.openxmlformats.org/officeDocument/2006/relationships/hyperlink" Target="https://www.linkedin.com/jobs/search-results/?currentJobId=4461795309&amp;eBP=CwEAAAGgg51nvaS9uSRm4bszWooPUfVghqgOtwGfl_hCeLw9WzRCE5Wu8nPvX3cEUz6QiDs1pxa8QmUgm0edbz6_dVrG_X6-24kb6k_05Efi3MrGqPX8-FvhrLxB7AenYyc_Cf-yTr5f6onCjmaY2yGwNYuh4XROuOW4-iHdiMUOQVxRoXSrHHK6hzNzprcAE5d4pbwxFdBz9u1rGNI_6LhDbiNhh0OrLuwTN0375ZAsIsZNy4sjYGab75s19NroRkC0w0rltJTQpLows3G4kOnk-P4Vdci_pxlM2liMoxSVBPa_uC8nRoryrkr7ypOGyLCERAfNAExU18KpKdXxtoqdx2fD2w9fyEJ4Bf3znP_cpZPn3LZ-DFgNPIoVTmLFX3VIE1eqJ6xW4KrGmf-Mkrzr2Fxi5_LiUAmaPj9IEijvIOv7vPk-TBqCR8OZ_THb0ygdubQLCwiO-jrwpNano9DlmcYQIEAG7_wewqtd&amp;refId=KGaBqmUfqtwbontFfBXpZw%3D%3D&amp;trackingId=TqdXMhHr8wUqYaZ74JLsXQ%3D%3D&amp;keywords=freshman%20intern%20software%20engineering&amp;origin=SEMANTIC_SEARCH_LANDING_PAGE" TargetMode="External"/><Relationship Id="rId136" Type="http://schemas.openxmlformats.org/officeDocument/2006/relationships/hyperlink" Target="https://morganstanley.tal.net/vx/candidate/so/pm/1/pl/1/opp/20948" TargetMode="External"/><Relationship Id="rId178" Type="http://schemas.openxmlformats.org/officeDocument/2006/relationships/hyperlink" Target="https://careers.ibm.com/fr_CA/careers/JobDetail?jobId=130113&amp;source=WEB_Search_NA" TargetMode="External"/><Relationship Id="rId301" Type="http://schemas.openxmlformats.org/officeDocument/2006/relationships/hyperlink" Target="https://jobs.smartrecruiters.com/oneclick-ui/company/GDMSI/publication/c4644a08-4662-4243-ac62-5964451b0cd5?dcr_ci=GDMSI&amp;vq_campaign=44b4bfbc-a1fa-5e84-b5f0-3ef158d42aaa&amp;vq_source=54851605-81a3-4507-a744-1b28be5be283&amp;igbTracker=962609283&amp;utm_source=mcgilluniversity" TargetMode="External"/><Relationship Id="rId343" Type="http://schemas.openxmlformats.org/officeDocument/2006/relationships/hyperlink" Target="https://careers.qualcomm.com/careers/job/446721143274" TargetMode="External"/><Relationship Id="rId82" Type="http://schemas.openxmlformats.org/officeDocument/2006/relationships/hyperlink" Target="https://www.linkedin.com/jobs/search-results/?currentJobId=4462052957&amp;eBP=CwEAAAGgg58aZ0eecsPisj8xASUleoeZgHqK5nvUCksxeFxRFQYuDMvCArAMreYxSEbuV8ismpCMktewBAM1Bjm1SUYfbV7RxjljypHKFVhoGM2WpCDeUl8R3IqD9Ms5gEp-9u4jHhjajC-2QUnpybIPGtc-6TMESPi1EeijNlrYzYSOwcZG0Ep5qBUKC4_iu_AHrIDIYWG-anwu0z07ngeswF8KWqLEOOTrasCfLXpbJb8gkEI-qeY16kOZCv512lxE-uFcaxJOidML3-K5IJ_wgFM_6hbXCmrKQnE5XcbJPRCZywq73Z-uknlHUQQMUgigPIHUD_RK56eZpmt7lIUx5sRFXpvH94tE9k09ke4-IsHrxIAq4U9dhGr7UzXC1rPjEAQxupKusLPQaYXX3J0ip0TlTx3IjkRZTEHOhzYDV7VO2ccoGDfGoqYrsQIp4vS2d_AH0GHmV-dwPKA3acNqLLhawQE7xASidhfBukWyI4B-&amp;refId=c%2Fg0DEk%2BjRgXcGAgk%2FOiSw%3D%3D&amp;trackingId=EyPhPbswg3VLEuls07KxLQ%3D%3D&amp;keywords=freshman%20intern%20software%20engineering&amp;origin=SEMANTIC_SEARCH_LANDING_PAGE&amp;start=25" TargetMode="External"/><Relationship Id="rId203" Type="http://schemas.openxmlformats.org/officeDocument/2006/relationships/hyperlink" Target="https://careers.ibm.com/fr_CA/careers/JobDetail?jobId=128824&amp;source=WEB_Search_NA" TargetMode="External"/><Relationship Id="rId385" Type="http://schemas.openxmlformats.org/officeDocument/2006/relationships/hyperlink" Target="https://emploi.hydroquebec.com/job/Stage-universitaire-Techno_-num%C3%A9riques-Admin_-des-syst%C3%A8mes-et-des-infrastr_-TI-Hiver-2027/188895-fr_FR" TargetMode="External"/><Relationship Id="rId245" Type="http://schemas.openxmlformats.org/officeDocument/2006/relationships/hyperlink" Target="https://careers.ibm.com/fr_CA/careers/JobDetail?jobId=129637&amp;source=WEB_Search_NA" TargetMode="External"/><Relationship Id="rId287" Type="http://schemas.openxmlformats.org/officeDocument/2006/relationships/hyperlink" Target="https://emploi.hydroquebec.com/content/Stages-et-programmes/?locale=fr_FR" TargetMode="External"/><Relationship Id="rId410" Type="http://schemas.openxmlformats.org/officeDocument/2006/relationships/hyperlink" Target="https://lumentum.wd5.myworkdayjobs.com/en-US/LITE/details/Reliability-Test-Automation-Engineer--Co-op-Intern-_20261382?workerSubType=01232ead616f01ef5e875b3e6310c01d&amp;workerSubType=01232ead616f01895fdd7a406310c91d" TargetMode="External"/><Relationship Id="rId452" Type="http://schemas.openxmlformats.org/officeDocument/2006/relationships/hyperlink" Target="https://emploi.hydroquebec.com/job/Stage-universitaire-Valorisation-des-donn%C3%A9es-et-Power-BI-Hiver-2027/188646-fr_FR" TargetMode="External"/><Relationship Id="rId494" Type="http://schemas.openxmlformats.org/officeDocument/2006/relationships/hyperlink" Target="https://emploi.hydroquebec.com/job/Stage-universitaire-Technologies-num%C3%A9riques-Analyste-fonctionnel-Hiver-2027/189044-fr_FR" TargetMode="External"/><Relationship Id="rId105" Type="http://schemas.openxmlformats.org/officeDocument/2006/relationships/hyperlink" Target="https://www.linkedin.com/jobs/search-results/?currentJobId=4458281140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refId=H6o4pxawrkb3Pa15PnEvqg%3D%3D&amp;trackingId=Zqft91QGzzcZ%2FH6M1QcEGg%3D%3D&amp;keywords=freshman%20intern%20software%20engineering&amp;origin=SEMANTIC_SEARCH_LANDING_PAGE&amp;start=75" TargetMode="External"/><Relationship Id="rId147" Type="http://schemas.openxmlformats.org/officeDocument/2006/relationships/hyperlink" Target="https://careers.ibm.com/fr_CA/careers/JobDetail?jobId=128506&amp;source=WEB_Search_NA" TargetMode="External"/><Relationship Id="rId312" Type="http://schemas.openxmlformats.org/officeDocument/2006/relationships/hyperlink" Target="https://intelcomgroup.wd3.myworkdayjobs.com/en-US/Intelcom/job/Software-Developer-in-Test-Intern_JR111565" TargetMode="External"/><Relationship Id="rId354" Type="http://schemas.openxmlformats.org/officeDocument/2006/relationships/hyperlink" Target="https://fa-ewde-saasfaprod1.fa.ocs.oraclecloud.com/hcmUI/CandidateExperience/fr-CA/sites/CX_1/job/1001326?keyword=stagiaire&amp;mode=location" TargetMode="External"/><Relationship Id="rId51" Type="http://schemas.openxmlformats.org/officeDocument/2006/relationships/hyperlink" Target="https://www.linkedin.com/jobs/view/4461949476/?trackingId=DvkAd2Kg%2FtP36CbkYxNaNQ%3D%3D&amp;refId=KGaBqmUfqtwbontFfBXpZw%3D%3D&amp;eBP=CwEAAAGgg51nvXeApu1HOQwQzwCvu3KdfuUoXucuLDtuEwW_9JjnGtp4mzP9LHPrz8Bqm1VNljnyyJ3SuJpJRIFGi3UjqgleVDaUbI7k6orOdwgJT51Hq0muZrhFIFNt8DjGQZk2aWyiYviRhpb4dLfjPZ66tUbBGvQJ3hSkTNuqv7vP46OZAHJqDjh7xjnxVrwcnCZ1ePEJxUpAH5Bg0C2iMD-eGoR8JM_s5mJNE1-PFYQFrkkCQVIi_fEoFdo0V93wvQGY-r3vL7kes1K4taJwyIjiNzQYseeAvYkCAPgE4q-cvhppuZNoqDPCL6CGn8ouhkBpN6HnveKCEJljStMw88mtzgMrsYr5cZ2lk8fvflejevkeSdkP96nY7uP2z_pP7q1Eu1rx2kKyzs0I2xZ1fJl7W3X3puoqMIpQKZ9jLIMj9bWcCHIQGq1fGYXHDo9FZmltavczqwtcXvyPlnliQgtEY9N2WDIDWnm-0X8&amp;alternateChannel=search&amp;isJobSearch=false" TargetMode="External"/><Relationship Id="rId93" Type="http://schemas.openxmlformats.org/officeDocument/2006/relationships/hyperlink" Target="https://www.linkedin.com/jobs/view/4219374115/?trackingId=ftOzXMcBbLOwuFTalaxX%2BA%3D%3D&amp;refId=0yvpgDSnmqqwfJ%2FA7hfqmw%3D%3D&amp;eBP=NOT_ELIGIBLE_FOR_CHARGING&amp;alternateChannel=search&amp;isJobSearch=false" TargetMode="External"/><Relationship Id="rId189" Type="http://schemas.openxmlformats.org/officeDocument/2006/relationships/hyperlink" Target="https://careers.ibm.com/fr_CA/careers/JobDetail?jobId=131081&amp;source=WEB_Search_NA" TargetMode="External"/><Relationship Id="rId396" Type="http://schemas.openxmlformats.org/officeDocument/2006/relationships/hyperlink" Target="https://jobs.autodesk.com/careers?start=10&amp;pid=1443153498671&amp;sort_by=timestamp&amp;filter_job_category=intern+fg" TargetMode="External"/><Relationship Id="rId214" Type="http://schemas.openxmlformats.org/officeDocument/2006/relationships/hyperlink" Target="https://careers.ibm.com/fr_CA/careers/JobDetail?jobId=128779&amp;source=WEB_Search_NA" TargetMode="External"/><Relationship Id="rId256" Type="http://schemas.openxmlformats.org/officeDocument/2006/relationships/hyperlink" Target="https://careers.ibm.com/fr_CA/careers/JobDetail?jobId=131081&amp;source=WEB_Search_NA" TargetMode="External"/><Relationship Id="rId298" Type="http://schemas.openxmlformats.org/officeDocument/2006/relationships/hyperlink" Target="https://jobs.smartrecruiters.com/oneclick-ui/company/GDMSI/publication/82f7ee5c-9a64-4866-82e9-2c07454c40a2?dcr_ci=GDMSI&amp;vq_campaign=a40db081-82ea-557f-b2e0-c85200a6e919&amp;vq_source=54851605-81a3-4507-a744-1b28be5be283&amp;igbTracker=962609218&amp;utm_source=mcgilluniversity" TargetMode="External"/><Relationship Id="rId421" Type="http://schemas.openxmlformats.org/officeDocument/2006/relationships/hyperlink" Target="https://recruiting.ultipro.ca/MAT5002MARX/JobBoard/69a03e48-0d5a-46df-9cba-fbcc2c7a9dbc/OpportunityDetail?opportunityId=8e4216dd-27c5-47f4-9f9a-5aa97d575c61" TargetMode="External"/><Relationship Id="rId463" Type="http://schemas.openxmlformats.org/officeDocument/2006/relationships/hyperlink" Target="https://emploi.hydroquebec.com/job/Stage-universitaire-Gestion-de-projets-Hiver-2027/188724-fr_FR" TargetMode="External"/><Relationship Id="rId116" Type="http://schemas.openxmlformats.org/officeDocument/2006/relationships/hyperlink" Target="https://giro.wd10.myworkdayjobs.com/en-US/GIRO/details/Hiver-2027---Stagiaire-en-dveloppement-logiciel--Algorithmes-et-recherche-oprationnelle-_R-100000314" TargetMode="External"/><Relationship Id="rId158" Type="http://schemas.openxmlformats.org/officeDocument/2006/relationships/hyperlink" Target="https://careers.ibm.com/fr_CA/careers/JobDetail?jobId=129778&amp;source=WEB_Search_NA" TargetMode="External"/><Relationship Id="rId323" Type="http://schemas.openxmlformats.org/officeDocument/2006/relationships/hyperlink" Target="https://careers.qualcomm.com/careers/job/446721064094" TargetMode="External"/><Relationship Id="rId20" Type="http://schemas.openxmlformats.org/officeDocument/2006/relationships/hyperlink" Target="https://www.linkedin.com/company/pmp-solutions/life/" TargetMode="External"/><Relationship Id="rId62" Type="http://schemas.openxmlformats.org/officeDocument/2006/relationships/hyperlink" Target="https://www.linkedin.com/company/cae/life/" TargetMode="External"/><Relationship Id="rId365" Type="http://schemas.openxmlformats.org/officeDocument/2006/relationships/hyperlink" Target="https://careers.pcl.com/job/Montr%C3%A9al-%C3%89tudiant%28e%29-en-technologie-Queb/1428512000/" TargetMode="External"/><Relationship Id="rId225" Type="http://schemas.openxmlformats.org/officeDocument/2006/relationships/hyperlink" Target="https://careers.ibm.com/fr_CA/careers/JobDetail?jobId=128775&amp;source=WEB_Search_NA" TargetMode="External"/><Relationship Id="rId267" Type="http://schemas.openxmlformats.org/officeDocument/2006/relationships/hyperlink" Target="https://intactfc.wd3.myworkdayjobs.com/intactfc/job/St-Johns-Newfoundland-and-Labrador-CAN/Software-Developer-I---4-months-internship--Co-op--Winter-2027-_R155972/apply?source=GoogleAdWordsCampaign&amp;utm_medium=cpc&amp;utm_campaign=IT-DataScience" TargetMode="External"/><Relationship Id="rId432" Type="http://schemas.openxmlformats.org/officeDocument/2006/relationships/hyperlink" Target="https://cgi.njoyn.com/CORP/xweb/xweb.asp?NTKN=c&amp;clid=21001&amp;Page=JobDetails&amp;Jobid=J0926-0972&amp;BRID=1337558&amp;lang=1" TargetMode="External"/><Relationship Id="rId474" Type="http://schemas.openxmlformats.org/officeDocument/2006/relationships/hyperlink" Target="https://emploi.hydroquebec.com/job/Stage-universitaire-Optimisation-et-mod%C3%A9lisation-%C3%A9nerg%C3%A9tique-Hiver-2027/188874-fr_FR" TargetMode="External"/><Relationship Id="rId127" Type="http://schemas.openxmlformats.org/officeDocument/2006/relationships/hyperlink" Target="https://www.epicgames.com/site/careers/jobs/6152263004" TargetMode="External"/><Relationship Id="rId10" Type="http://schemas.openxmlformats.org/officeDocument/2006/relationships/hyperlink" Target="https://careers.beenox.com/us/en/job/R027942/Stagiaire-Ing%C3%A9nieur-d-outil-Beenox-Hiver-2027" TargetMode="External"/><Relationship Id="rId31" Type="http://schemas.openxmlformats.org/officeDocument/2006/relationships/hyperlink" Target="https://www.linkedin.com/jobs/search-results/?currentJobId=4447254461&amp;eBP=NOT_ELIGIBLE_FOR_CHARGING&amp;refId=KGaBqmUfqtwbontFfBXpZw%3D%3D&amp;trackingId=314fWdfrTKoJfZQT4MlZsw%3D%3D&amp;keywords=freshman%20intern%20software%20engineering&amp;origin=SEMANTIC_SEARCH_LANDING_PAGE" TargetMode="External"/><Relationship Id="rId52" Type="http://schemas.openxmlformats.org/officeDocument/2006/relationships/hyperlink" Target="https://www.linkedin.com/jobs/search-results/?currentJobId=4461949476&amp;eBP=CwEAAAGgg51nvXeApu1HOQwQzwCvu3KdfuUoXucuLDtuEwW_9JjnGtp4mzP9LHPrz8Bqm1VNljnyyJ3SuJpJRIFGi3UjqgleVDaUbI7k6orOdwgJT51Hq0muZrhFIFNt8DjGQZk2aWyiYviRhpb4dLfjPZ66tUbBGvQJ3hSkTNuqv7vP46OZAHJqDjh7xjnxVrwcnCZ1ePEJxUpAH5Bg0C2iMD-eGoR8JM_s5mJNE1-PFYQFrkkCQVIi_fEoFdo0V93wvQGY-r3vL7kes1K4taJwyIjiNzQYseeAvYkCAPgE4q-cvhppuZNoqDPCL6CGn8ouhkBpN6HnveKCEJljStMw88mtzgMrsYr5cZ2lk8fvflejevkeSdkP96nY7uP2z_pP7q1Eu1rx2kKyzs0I2xZ1fJl7W3X3puoqMIpQKZ9jLIMj9bWcCHIQGq1fGYXHDo9FZmltavczqwtcXvyPlnliQgtEY9N2WDIDWnm-0X8&amp;refId=KGaBqmUfqtwbontFfBXpZw%3D%3D&amp;trackingId=DvkAd2Kg%2FtP36CbkYxNaNQ%3D%3D&amp;keywords=freshman%20intern%20software%20engineering&amp;origin=SEMANTIC_SEARCH_LANDING_PAGE" TargetMode="External"/><Relationship Id="rId73" Type="http://schemas.openxmlformats.org/officeDocument/2006/relationships/hyperlink" Target="https://www.linkedin.com/jobs/search-results/?currentJobId=4429382631&amp;eBP=NOT_ELIGIBLE_FOR_CHARGING&amp;refId=c%2Fg0DEk%2BjRgXcGAgk%2FOiSw%3D%3D&amp;trackingId=qr1x8G1tKCZ9apLIMUHYRA%3D%3D&amp;keywords=freshman%20intern%20software%20engineering&amp;origin=SEMANTIC_SEARCH_LANDING_PAGE&amp;start=25" TargetMode="External"/><Relationship Id="rId94" Type="http://schemas.openxmlformats.org/officeDocument/2006/relationships/hyperlink" Target="https://www.linkedin.com/jobs/search-results/?currentJobId=4219374115&amp;eBP=NOT_ELIGIBLE_FOR_CHARGING&amp;refId=0yvpgDSnmqqwfJ%2FA7hfqmw%3D%3D&amp;trackingId=ftOzXMcBbLOwuFTalaxX%2BA%3D%3D&amp;keywords=freshman%20intern%20software%20engineering&amp;origin=SEMANTIC_SEARCH_LANDING_PAGE&amp;start=50" TargetMode="External"/><Relationship Id="rId148" Type="http://schemas.openxmlformats.org/officeDocument/2006/relationships/hyperlink" Target="https://careers.ibm.com/fr_CA/careers/JobDetail?jobId=129787&amp;source=WEB_Search_NA" TargetMode="External"/><Relationship Id="rId169" Type="http://schemas.openxmlformats.org/officeDocument/2006/relationships/hyperlink" Target="https://careers.ibm.com/fr_CA/careers/JobDetail?jobId=130115&amp;source=WEB_Search_NA" TargetMode="External"/><Relationship Id="rId334" Type="http://schemas.openxmlformats.org/officeDocument/2006/relationships/hyperlink" Target="https://careers.qualcomm.com/careers/job/446721141411" TargetMode="External"/><Relationship Id="rId355" Type="http://schemas.openxmlformats.org/officeDocument/2006/relationships/hyperlink" Target="https://jira.cengn.ca/servicedesk/customer/portal/10/user/login?destination=portal%2F10%2Fcreate%2F259" TargetMode="External"/><Relationship Id="rId376" Type="http://schemas.openxmlformats.org/officeDocument/2006/relationships/hyperlink" Target="https://emploi.hydroquebec.com/job/Stage-universitaire-g%C3%A9nie-informatique-Hiver-2027/188575-fr_FR" TargetMode="External"/><Relationship Id="rId397" Type="http://schemas.openxmlformats.org/officeDocument/2006/relationships/hyperlink" Target="https://jobs.autodesk.com/careers?start=10&amp;pid=1443153498671&amp;sort_by=timestamp&amp;filter_job_category=intern+fg" TargetMode="External"/><Relationship Id="rId4" Type="http://schemas.openxmlformats.org/officeDocument/2006/relationships/hyperlink" Target="https://emplois.carrieres.gouv.qc.ca/plateforme-emploi/libre-service/offres-emploi/poste/21904" TargetMode="External"/><Relationship Id="rId180" Type="http://schemas.openxmlformats.org/officeDocument/2006/relationships/hyperlink" Target="https://careers.ibm.com/fr_CA/careers/JobDetail?jobId=128827&amp;source=WEB_Search_NA" TargetMode="External"/><Relationship Id="rId215" Type="http://schemas.openxmlformats.org/officeDocument/2006/relationships/hyperlink" Target="https://careers.ibm.com/fr_CA/careers/JobDetail?jobId=128779&amp;source=WEB_Search_NA" TargetMode="External"/><Relationship Id="rId236" Type="http://schemas.openxmlformats.org/officeDocument/2006/relationships/hyperlink" Target="https://careers.ibm.com/fr_CA/careers/JobDetail?jobId=128815&amp;source=WEB_Search_NA" TargetMode="External"/><Relationship Id="rId257" Type="http://schemas.openxmlformats.org/officeDocument/2006/relationships/hyperlink" Target="https://careers.ibm.com/fr_CA/careers/JobDetail?jobId=128790&amp;source=WEB_Search_NA" TargetMode="External"/><Relationship Id="rId278" Type="http://schemas.openxmlformats.org/officeDocument/2006/relationships/hyperlink" Target="https://careerscoopinternen-fgfbrands.icims.com/jobs/26841/it-software-qa-automation-co-op-%28winter-2027%29/job" TargetMode="External"/><Relationship Id="rId401" Type="http://schemas.openxmlformats.org/officeDocument/2006/relationships/hyperlink" Target="https://bba.csod.com/ux/ats/careersite/4/requisition/2194/application?c=bba&amp;state=qc&amp;city=montreal_quebec+city&amp;lang=en-US&amp;axeptio_token=ew1uvTJuiYSa0pR7Sl16GQSxPA&amp;_gl=1*1381bqn*_gcl_au*MTM3MjE4ODQ0Ni4xNzkwODAwMzA0*_ga*MTY3MDA2MjUwNC4xNzkwODAwMzAx*_ga_X4MFQT1G0B*czE3OTA4MDAzMDAkbzEkZzEkdDE3OTA4MDAzMTgkajQ1JGwwJGgw&amp;jobboardid=0" TargetMode="External"/><Relationship Id="rId422" Type="http://schemas.openxmlformats.org/officeDocument/2006/relationships/hyperlink" Target="https://recruiting.ultipro.ca/MAT5002MARX/JobBoard/69a03e48-0d5a-46df-9cba-fbcc2c7a9dbc/OpportunityDetail?opportunityId=8e4216dd-27c5-47f4-9f9a-5aa97d575c61" TargetMode="External"/><Relationship Id="rId443" Type="http://schemas.openxmlformats.org/officeDocument/2006/relationships/hyperlink" Target="https://asc-csa.hiringplatform.ca/252651-stage-en-ingenierie-des-systemes-robotiques/1145942-formulaire/en" TargetMode="External"/><Relationship Id="rId464" Type="http://schemas.openxmlformats.org/officeDocument/2006/relationships/hyperlink" Target="https://emploi.hydroquebec.com/job/Stage-universitaire-Gestion-de-projets-Hiver-2027/188724-fr_FR" TargetMode="External"/><Relationship Id="rId303" Type="http://schemas.openxmlformats.org/officeDocument/2006/relationships/hyperlink" Target="https://jobs.smartrecruiters.com/oneclick-ui/company/GDMSI/publication/3fe14582-9540-4c5e-ba34-4a5921be3008?dcr_ci=GDMSI&amp;vq_campaign=27c98fab-cf4b-566b-8cf9-0eb8746c1c08&amp;vq_source=54851605-81a3-4507-a744-1b28be5be283&amp;igbTracker=962609312&amp;utm_source=mcgilluniversity" TargetMode="External"/><Relationship Id="rId485" Type="http://schemas.openxmlformats.org/officeDocument/2006/relationships/hyperlink" Target="https://emploi.hydroquebec.com/job/Stage-universitaire-Gestion-de-projets-%28administration%29-Hiver-2027/188915-fr_FR" TargetMode="External"/><Relationship Id="rId42" Type="http://schemas.openxmlformats.org/officeDocument/2006/relationships/hyperlink" Target="https://www.linkedin.com/jobs/view/4459522711/?trackingId=RUtCS3TnLcLViV%2F5x594UQ%3D%3D&amp;refId=KGaBqmUfqtwbontFfBXpZw%3D%3D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alternateChannel=search&amp;isJobSearch=false" TargetMode="External"/><Relationship Id="rId84" Type="http://schemas.openxmlformats.org/officeDocument/2006/relationships/hyperlink" Target="https://www.linkedin.com/jobs/view/4460647361/?trackingId=28Ki964UF7o%2BiQKuLUJouQ%3D%3D&amp;refId=c%2Fg0DEk%2BjRgXcGAgk%2FOiSw%3D%3D&amp;eBP=NOT_ELIGIBLE_FOR_CHARGING&amp;alternateChannel=search&amp;isJobSearch=false" TargetMode="External"/><Relationship Id="rId138" Type="http://schemas.openxmlformats.org/officeDocument/2006/relationships/hyperlink" Target="https://morganstanley.tal.net/vx/candidate/so/pm/1/pl/1/opp/20949" TargetMode="External"/><Relationship Id="rId345" Type="http://schemas.openxmlformats.org/officeDocument/2006/relationships/hyperlink" Target="https://careers.qualcomm.com/careers/job/446721064141" TargetMode="External"/><Relationship Id="rId387" Type="http://schemas.openxmlformats.org/officeDocument/2006/relationships/hyperlink" Target="https://emploi.hydroquebec.com/job/Stage-universitaire-Gestion-de-projets-Hiver-2027/188849-fr_FR" TargetMode="External"/><Relationship Id="rId191" Type="http://schemas.openxmlformats.org/officeDocument/2006/relationships/hyperlink" Target="https://careers.ibm.com/fr_CA/careers/JobDetail?jobId=128790&amp;source=WEB_Search_NA" TargetMode="External"/><Relationship Id="rId205" Type="http://schemas.openxmlformats.org/officeDocument/2006/relationships/hyperlink" Target="https://careers.ibm.com/fr_CA/careers/JobDetail?jobId=128620&amp;source=WEB_Search_NA" TargetMode="External"/><Relationship Id="rId247" Type="http://schemas.openxmlformats.org/officeDocument/2006/relationships/hyperlink" Target="https://careers.ibm.com/fr_CA/careers/JobDetail?jobId=128823&amp;source=WEB_Search_NA" TargetMode="External"/><Relationship Id="rId412" Type="http://schemas.openxmlformats.org/officeDocument/2006/relationships/hyperlink" Target="https://lumentum.wd5.myworkdayjobs.com/en-US/LITE/details/Embedded-Software-DevSecOps-Engineer--Co-op-Student-_20261355?workerSubType=01232ead616f01ef5e875b3e6310c01d&amp;workerSubType=01232ead616f01895fdd7a406310c91d" TargetMode="External"/><Relationship Id="rId107" Type="http://schemas.openxmlformats.org/officeDocument/2006/relationships/hyperlink" Target="https://www.linkedin.com/jobs/view/4458281140/?trackingId=Zqft91QGzzcZ%2FH6M1QcEGg%3D%3D&amp;refId=H6o4pxawrkb3Pa15PnEvqg%3D%3D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alternateChannel=search&amp;isJobSearch=false" TargetMode="External"/><Relationship Id="rId289" Type="http://schemas.openxmlformats.org/officeDocument/2006/relationships/hyperlink" Target="https://emploi.hydroquebec.com/content/Stages-et-programmes/?locale=fr_FR" TargetMode="External"/><Relationship Id="rId454" Type="http://schemas.openxmlformats.org/officeDocument/2006/relationships/hyperlink" Target="https://career17.sapsf.com/portalcareer?_s.crb=BOFeYB0lJXzLlrwxTm71dqklHopkD61Qu8XjmkISPiQ%253d" TargetMode="External"/><Relationship Id="rId496" Type="http://schemas.openxmlformats.org/officeDocument/2006/relationships/hyperlink" Target="https://emploi.hydroquebec.com/job/Stage-universitaire-g%C3%A9nie-informatique-Hiver-2027/188575-fr_FR" TargetMode="External"/><Relationship Id="rId11" Type="http://schemas.openxmlformats.org/officeDocument/2006/relationships/hyperlink" Target="https://careers.beenox.com/us/en/job/R027945/Stagiaire-Intelligence-des-affaires-Beenox-Hiver-2027" TargetMode="External"/><Relationship Id="rId53" Type="http://schemas.openxmlformats.org/officeDocument/2006/relationships/hyperlink" Target="https://www.linkedin.com/company/compassanalytics/life/" TargetMode="External"/><Relationship Id="rId149" Type="http://schemas.openxmlformats.org/officeDocument/2006/relationships/hyperlink" Target="https://careers.ibm.com/fr_CA/careers/JobDetail?jobId=129787&amp;source=WEB_Search_NA" TargetMode="External"/><Relationship Id="rId314" Type="http://schemas.openxmlformats.org/officeDocument/2006/relationships/hyperlink" Target="https://intelcomgroup.wd3.myworkdayjobs.com/en-US/Intelcom/job/DevOps-Intern_JR111562" TargetMode="External"/><Relationship Id="rId356" Type="http://schemas.openxmlformats.org/officeDocument/2006/relationships/hyperlink" Target="https://rbi.wd3.myworkdayjobs.com/en-US/RBI_External_Career_Site/job/Undergraduate-Summer-Internship-Program---Toronto_R3758?locationCountry=a30a87ed25634629aa6c3958aa2b91ea&amp;locations=7e87ecb61742015a7b6e03a11b02a1d1" TargetMode="External"/><Relationship Id="rId398" Type="http://schemas.openxmlformats.org/officeDocument/2006/relationships/hyperlink" Target="https://jobs.autodesk.com/careers?start=10&amp;pid=1443153535146&amp;sort_by=timestamp&amp;filter_job_category=intern+fg" TargetMode="External"/><Relationship Id="rId95" Type="http://schemas.openxmlformats.org/officeDocument/2006/relationships/hyperlink" Target="https://www.linkedin.com/company/drw/life/" TargetMode="External"/><Relationship Id="rId160" Type="http://schemas.openxmlformats.org/officeDocument/2006/relationships/hyperlink" Target="https://careers.ibm.com/fr_CA/careers/JobDetail?jobId=130346&amp;source=WEB_Search_NA" TargetMode="External"/><Relationship Id="rId216" Type="http://schemas.openxmlformats.org/officeDocument/2006/relationships/hyperlink" Target="https://careers.ibm.com/fr_CA/careers/JobDetail?jobId=128807&amp;source=WEB_Search_NA" TargetMode="External"/><Relationship Id="rId423" Type="http://schemas.openxmlformats.org/officeDocument/2006/relationships/hyperlink" Target="https://recruiting.ultipro.ca/MAT5002MARX/JobBoard/69a03e48-0d5a-46df-9cba-fbcc2c7a9dbc/OpportunityDetail?opportunityId=6054dfe0-1174-4f39-84cf-cdbc3725f5d9" TargetMode="External"/><Relationship Id="rId258" Type="http://schemas.openxmlformats.org/officeDocument/2006/relationships/hyperlink" Target="https://careers.ibm.com/fr_CA/careers/JobDetail?jobId=128790&amp;source=WEB_Search_NA" TargetMode="External"/><Relationship Id="rId465" Type="http://schemas.openxmlformats.org/officeDocument/2006/relationships/hyperlink" Target="https://emploi.hydroquebec.com/job/Stage-universitaire-G%C3%A9nie-%C3%A9lectrique-Hiver-2027/188281-fr_FR" TargetMode="External"/><Relationship Id="rId22" Type="http://schemas.openxmlformats.org/officeDocument/2006/relationships/hyperlink" Target="https://www.linkedin.com/jobs/search-results/?currentJobId=4437772079&amp;eBP=NOT_ELIGIBLE_FOR_CHARGING&amp;refId=ipIvV5qEyvihhAd%2F1eFFow%3D%3D&amp;trackingId=VjZAwoINDIa%2Fau9vv0uJBg%3D%3D&amp;showHowYouFit=HOW_YOU_FIT&amp;keywords=stage%20en%20d%C3%A9veloppement%20logiciel&amp;origin=QUALIFICATION_LANDING&amp;geoId=90009543" TargetMode="External"/><Relationship Id="rId64" Type="http://schemas.openxmlformats.org/officeDocument/2006/relationships/hyperlink" Target="https://www.linkedin.com/jobs/search-results/?currentJobId=4462726244&amp;eBP=CwEAAAGgg51nvSUkNlhSjDiYcNfvv5-d0cbxNXXKDmgoNQMHeKvu4Xd92n0ETLR93YvUCBuh3rHlyoM4SUOmYohCJeKY1M5sKzkAmD1c2cKFLNAMFb9P5mqb1w_zzZAE7xHq701KSHeGC2Qi5tjK085pop6MddPVnE1DbrUapFPaHhAEzaOx2Ieivm9qc_reTXQfsaj0-UHqV8nV4wkd4pVWyplHj5WX5mlAWHeq0ucNF5bxnSTwmQ49PtGpIW9cRF5DFAorU6TEyh6aoFvi6yAmv8dL2_lVEVBVffamCBrHpQz5jd-zznaTy7XkDM7eab6R3b2QAgPPinA0RvgYHMBublXajoylffNEGjDLQr75FMLZuB-sfc-cuWMzMx2NYg8pUS3AEOIrDEL0kQBQZvZyGdsYYID2kqwwQsJBwvjnPjdKNJQWFwmoTkY4PfepxDkE6pOzRDJWPIiiEi-f7BvLUuUlgEOcZIu345pbGJtQDA&amp;refId=KGaBqmUfqtwbontFfBXpZw%3D%3D&amp;trackingId=ru7doXtgvbRXSkTaT3ldBg%3D%3D&amp;keywords=freshman%20intern%20software%20engineering&amp;origin=SEMANTIC_SEARCH_LANDING_PAGE" TargetMode="External"/><Relationship Id="rId118" Type="http://schemas.openxmlformats.org/officeDocument/2006/relationships/hyperlink" Target="https://flare.bamboohr.com/careers/29" TargetMode="External"/><Relationship Id="rId325" Type="http://schemas.openxmlformats.org/officeDocument/2006/relationships/hyperlink" Target="https://careers.qualcomm.com/careers/job/446721064018" TargetMode="External"/><Relationship Id="rId367" Type="http://schemas.openxmlformats.org/officeDocument/2006/relationships/hyperlink" Target="https://morganstanley.tal.net/vx/lang-en-GB/mobile-0/brand-2/spa-1/candidate/so/pm/1/pl/1/opp/20948-2027-Programme-d-%C3%A9t%C3%A9-en-Technologie-Montr%C3%A9al-2027-Summer-Technology-Analyst-Program-Montreal/en-GB" TargetMode="External"/><Relationship Id="rId171" Type="http://schemas.openxmlformats.org/officeDocument/2006/relationships/hyperlink" Target="https://careers.ibm.com/fr_CA/careers/JobDetail?jobId=130716&amp;source=WEB_Search_NA" TargetMode="External"/><Relationship Id="rId227" Type="http://schemas.openxmlformats.org/officeDocument/2006/relationships/hyperlink" Target="https://careers.ibm.com/fr_CA/careers/JobDetail?jobId=128527&amp;source=WEB_Search_NA" TargetMode="External"/><Relationship Id="rId269" Type="http://schemas.openxmlformats.org/officeDocument/2006/relationships/hyperlink" Target="https://ats.rippling.com/blue-robotics/jobs/25a883e5-3fa4-459e-9762-5f33a3512cd8" TargetMode="External"/><Relationship Id="rId434" Type="http://schemas.openxmlformats.org/officeDocument/2006/relationships/hyperlink" Target="https://cgi.njoyn.com/CORP/xweb/xweb.asp?NTKN=c&amp;clid=21001&amp;Page=JobDetails&amp;Jobid=J0926-1783&amp;BRID=1337118&amp;lang=1" TargetMode="External"/><Relationship Id="rId476" Type="http://schemas.openxmlformats.org/officeDocument/2006/relationships/hyperlink" Target="https://emploi.hydroquebec.com/job/Stage-universitaire-Technologies-num%C3%A9riques-G%C3%A9nie-logiciel-Hiver-2027/188897-fr_FR" TargetMode="External"/><Relationship Id="rId33" Type="http://schemas.openxmlformats.org/officeDocument/2006/relationships/hyperlink" Target="https://www.linkedin.com/jobs/view/4462079429/?trackingId=OiPbE%2FzyACunhgbNfBUckw%3D%3D&amp;refId=KGaBqmUfqtwbontFfBXpZw%3D%3D&amp;eBP=CwEAAAGgg51nvRJwCQlUb6CGpCrd55wPe1rD4MG8DiRUd7Yq75ksuZmi6wEkzs1bhejs8UsD2JL5f3LC-IiSxN1kAP-lMIY6qvOjofPlMRGgoMOEgYivil2PfyYsNcrwn9USP1xLJd2VuA0bVd9ys1CutBr7l7nQwlqwvpKMpW8KPlNFgofA3fQ50Qb1cWabOI6DBKDyxaceC1kil1Gs1m22ThHDQ5hCJtsg41HxcAfVeraQN_tFdorarukvP1jgFfuN2HqVfSsMjr47gaaI4Qgk7-jSwTMtUB9s-AmyWSEZkj2qKMLNplfzu9hTHixneoc_Kgkd4U-YxDK0OwJ0IzXQCmhoSdahMHgLqSZa0vbTPWNshrrG4G-RiAH5-8y_nES10CNZkkquWR0pyrXR0czm5N1X9GfdB2XnUEt22nRZIPrjz5gfsGt14oXi53j25AEol-4kNIMwKxPOEW6dIxuXMYlqR31ZONfoReASjVI&amp;alternateChannel=search&amp;isJobSearch=false" TargetMode="External"/><Relationship Id="rId129" Type="http://schemas.openxmlformats.org/officeDocument/2006/relationships/hyperlink" Target="https://www.epicgames.com/site/careers/jobs/6138140004" TargetMode="External"/><Relationship Id="rId280" Type="http://schemas.openxmlformats.org/officeDocument/2006/relationships/hyperlink" Target="https://careerscoopinternen-fgfbrands.icims.com/jobs/26843/data-pipeline-engineering-co-op-%28winter-2027%29/job" TargetMode="External"/><Relationship Id="rId336" Type="http://schemas.openxmlformats.org/officeDocument/2006/relationships/hyperlink" Target="https://careers.qualcomm.com/careers/job/446721156615" TargetMode="External"/><Relationship Id="rId501" Type="http://schemas.openxmlformats.org/officeDocument/2006/relationships/hyperlink" Target="https://nvidia.wd5.myworkdayjobs.com/NVIDIAExternalCareerSite/job/US-CA-Santa-Clara/NVIDIA-2027-Ignite-Internships--Software-Engineering_JR2026958" TargetMode="External"/><Relationship Id="rId75" Type="http://schemas.openxmlformats.org/officeDocument/2006/relationships/hyperlink" Target="https://www.linkedin.com/jobs/view/4463531417/?trackingId=sq9nmTglWnrmUWHi9zvYug%3D%3D&amp;refId=c%2Fg0DEk%2BjRgXcGAgk%2FOiSw%3D%3D&amp;eBP=CwEAAAGgg58aZlkymv2lC4yVg1g8arWsrZEegFHokqN3LQXY0TQTXwmEVM1FKPbfst582uclP-rSBOGbDZnHDh7FB_dghZyMSNLGeH_n97sUBRPUGmsTKoosIpklBxK9eoaf0xKSqACBirOoUy9NWy52Xs4WNIeKph6JNOdOuuU1v8qzPPULPPSt6YtqcdqnA6BLGBhMKKIDsNCG6b8k-XRfNO4ZZGkwHq3YBAN7T2Q_0xD-moRMXl9jtbKAHepxEosDTN5qgAq2SHvOxtDn0c00nTGpHUUMxH4wGBrNTXJWGbS9F0-dKM4XA59iqEXZTVgdBpW0nTeVNPpuqBCfn90_hExQEcRnd8tBQeHMfYRMd5NjmrZDhQvXUrUU-R2WNKe1R2I8chEFA1HQFzTIdiCIKfQ-y6FCje3iE9IwJRSO7i418uWra00EjfDuIJwJGquMjcYtHu2fQ8HSWyBwpinfbdld1zXC2bCmdlMaiNBirAPompY&amp;alternateChannel=search&amp;isJobSearch=false" TargetMode="External"/><Relationship Id="rId140" Type="http://schemas.openxmlformats.org/officeDocument/2006/relationships/hyperlink" Target="https://careers.ibm.com/fr_CA/careers/JobDetail?jobId=130073&amp;source=WEB_Search_NA" TargetMode="External"/><Relationship Id="rId182" Type="http://schemas.openxmlformats.org/officeDocument/2006/relationships/hyperlink" Target="https://careers.ibm.com/fr_CA/careers/JobDetail?jobId=128772&amp;source=WEB_Search_NA" TargetMode="External"/><Relationship Id="rId378" Type="http://schemas.openxmlformats.org/officeDocument/2006/relationships/hyperlink" Target="https://emploi.hydroquebec.com/job/Stage-universitaire-g%C3%A9nie-informatique-Hiver-2027/188575-fr_FR" TargetMode="External"/><Relationship Id="rId403" Type="http://schemas.openxmlformats.org/officeDocument/2006/relationships/hyperlink" Target="https://bba.csod.com/ux/ats/careersite/4/home/requisition/3139?c=bba&amp;lang=en-US&amp;axeptio_token=ew1uvTJuiYSa0pR7Sl16GQSxPA&amp;_gl=1*1381bqn*_gcl_au*MTM3MjE4ODQ0Ni4xNzkwODAwMzA0*_ga*MTY3MDA2MjUwNC4xNzkwODAwMzAx*_ga_X4MFQT1G0B*czE3OTA4MDAzMDAkbzEkZzEkdDE3OTA4MDAzMTgkajQ1JGwwJGgw" TargetMode="External"/><Relationship Id="rId6" Type="http://schemas.openxmlformats.org/officeDocument/2006/relationships/hyperlink" Target="https://emplois.carrieres.gouv.qc.ca/plateforme-emploi/libre-service/offres-emploi/poste/22328" TargetMode="External"/><Relationship Id="rId238" Type="http://schemas.openxmlformats.org/officeDocument/2006/relationships/hyperlink" Target="https://careers.ibm.com/fr_CA/careers/JobDetail?jobId=130113&amp;source=WEB_Search_NA" TargetMode="External"/><Relationship Id="rId445" Type="http://schemas.openxmlformats.org/officeDocument/2006/relationships/hyperlink" Target="https://mthree.com/careers/job/?gh_jid=4374332006" TargetMode="External"/><Relationship Id="rId487" Type="http://schemas.openxmlformats.org/officeDocument/2006/relationships/hyperlink" Target="https://emploi.hydroquebec.com/job/Stage-universitaire-D%C3%A9veloppement-d&amp;apos;outils-et-analyse-de-donn%C3%A9es-%28%C3%A9olien%29-Hiver-2027/188461-fr_FR" TargetMode="External"/><Relationship Id="rId291" Type="http://schemas.openxmlformats.org/officeDocument/2006/relationships/hyperlink" Target="https://emploi.hydroquebec.com/content/Stages-et-programmes/?locale=fr_FR" TargetMode="External"/><Relationship Id="rId305" Type="http://schemas.openxmlformats.org/officeDocument/2006/relationships/hyperlink" Target="https://jobs.smartrecruiters.com/oneclick-ui/company/GDMSI/publication/65095ce0-833d-42f0-92dd-b03b04bb449b?dcr_ci=GDMSI&amp;vq_campaign=20a5c038-8166-5daf-bdf7-b57c496afd7a&amp;vq_source=54851605-81a3-4507-a744-1b28be5be283&amp;igbTracker=962609346&amp;utm_source=mcgilluniversity" TargetMode="External"/><Relationship Id="rId347" Type="http://schemas.openxmlformats.org/officeDocument/2006/relationships/hyperlink" Target="https://careers.qualcomm.com/careers/job/446721140914" TargetMode="External"/><Relationship Id="rId44" Type="http://schemas.openxmlformats.org/officeDocument/2006/relationships/hyperlink" Target="https://www.linkedin.com/company/grassvalley/life/" TargetMode="External"/><Relationship Id="rId86" Type="http://schemas.openxmlformats.org/officeDocument/2006/relationships/hyperlink" Target="https://www.linkedin.com/company/hme/life/" TargetMode="External"/><Relationship Id="rId151" Type="http://schemas.openxmlformats.org/officeDocument/2006/relationships/hyperlink" Target="https://careers.ibm.com/fr_CA/careers/JobDetail?jobId=128497&amp;source=WEB_Search_NA" TargetMode="External"/><Relationship Id="rId389" Type="http://schemas.openxmlformats.org/officeDocument/2006/relationships/hyperlink" Target="https://emploi.hydroquebec.com/job/Stage-universitaire-Administration-des-syst%C3%A8mes-et-des-infrastructures-TI-Hiver-2027/188617-fr_FR" TargetMode="External"/><Relationship Id="rId193" Type="http://schemas.openxmlformats.org/officeDocument/2006/relationships/hyperlink" Target="https://careers.ibm.com/fr_CA/careers/JobDetail?jobId=128922&amp;source=WEB_Search_NA" TargetMode="External"/><Relationship Id="rId207" Type="http://schemas.openxmlformats.org/officeDocument/2006/relationships/hyperlink" Target="https://careers.ibm.com/fr_CA/careers/JobDetail?jobId=128823&amp;source=WEB_Search_NA" TargetMode="External"/><Relationship Id="rId249" Type="http://schemas.openxmlformats.org/officeDocument/2006/relationships/hyperlink" Target="https://careers.ibm.com/fr_CA/careers/JobDetail?jobId=128792&amp;source=WEB_Search_NA" TargetMode="External"/><Relationship Id="rId414" Type="http://schemas.openxmlformats.org/officeDocument/2006/relationships/hyperlink" Target="https://lumentum.wd5.myworkdayjobs.com/en-US/LITE/details/Embedded-Software-DevSecOps-Engineer--Co-op-Student-_20261356?workerSubType=01232ead616f01ef5e875b3e6310c01d&amp;workerSubType=01232ead616f01895fdd7a406310c91d" TargetMode="External"/><Relationship Id="rId456" Type="http://schemas.openxmlformats.org/officeDocument/2006/relationships/hyperlink" Target="https://emploi.hydroquebec.com/job/Stage-universitaire-Technologies-num%C3%A9riques-D%C3%A9veloppement-Hiver-2027/188644-fr_FR" TargetMode="External"/><Relationship Id="rId498" Type="http://schemas.openxmlformats.org/officeDocument/2006/relationships/hyperlink" Target="https://www.linkedin.com/jobs/view/4474540210/?refId=5%EF%BF%BD~4%CD%BA%15%3A%EF%BF%BD%00%07%EB%AF%98%EF%BF%BD%EF%BF%BD" TargetMode="External"/><Relationship Id="rId13" Type="http://schemas.openxmlformats.org/officeDocument/2006/relationships/hyperlink" Target="https://careers.beenox.com/us/en/job/R027944/Stagiaire-Programmation-en-Jouabilit%C3%A9-Beenox-Hiver-2027" TargetMode="External"/><Relationship Id="rId109" Type="http://schemas.openxmlformats.org/officeDocument/2006/relationships/hyperlink" Target="https://www.linkedin.com/company/deloitte/life/" TargetMode="External"/><Relationship Id="rId260" Type="http://schemas.openxmlformats.org/officeDocument/2006/relationships/hyperlink" Target="https://careers.ibm.com/fr_CA/careers/JobDetail?jobId=127717&amp;source=WEB_Search_NA" TargetMode="External"/><Relationship Id="rId316" Type="http://schemas.openxmlformats.org/officeDocument/2006/relationships/hyperlink" Target="https://intelcomgroup.wd3.myworkdayjobs.com/en-US/Intelcom/job/AI-Data-Analyst-Intern_JR111568" TargetMode="External"/><Relationship Id="rId55" Type="http://schemas.openxmlformats.org/officeDocument/2006/relationships/hyperlink" Target="https://www.linkedin.com/jobs/search-results/?currentJobId=4415142798&amp;eBP=NOT_ELIGIBLE_FOR_CHARGING&amp;refId=KGaBqmUfqtwbontFfBXpZw%3D%3D&amp;trackingId=5%2FW%2BlXRqouo8G7xsaXadnw%3D%3D&amp;keywords=freshman%20intern%20software%20engineering&amp;origin=SEMANTIC_SEARCH_LANDING_PAGE" TargetMode="External"/><Relationship Id="rId97" Type="http://schemas.openxmlformats.org/officeDocument/2006/relationships/hyperlink" Target="https://www.linkedin.com/jobs/search-results/?currentJobId=4437615263&amp;eBP=CwEAAAGgg6BhFkCttodv2pPYKSZFfgL33tZC5E6SO-cy-z6pSJMiLb8DgX9yJ5PvEbnYYzSUwZ3pC0rPghew5XGKF2jCovASbuKQ8a9LKJRbLCgSy7e548zMxxQDVaXtUWLtmXmzFwBEgm9qvjbWkvI93yV2RIAoH-wB3ib86atC_VMVb407dDs5YA7A6WBw_rCuvxO4BeLjjHGbNMUeUC7AFgyU9PszGFXZB3-QsEe1E4PEL_9sRuh5A-6JJwcBRQv1mYNQqIqdTWH8N_URi0DQqbBPox9VXKbUceSjwEqFd6hCRI-EHTLXYFt9ksew73EvxaMd8010PthwlVHAmIv8N8qhuCb9gArYCkfL-WGv--Yt0UhdPwawDOrpJPVal4ZTWliN_Mnt1wcyytuGmyQFW1KRiK3420TzAzB0Vm4GcFojcw4wzFcubOIJZLiiVvkjDsucZJ3jJmGASK0om3Ymz8Tcs9DcMIGxCts3L6o&amp;refId=0yvpgDSnmqqwfJ%2FA7hfqmw%3D%3D&amp;trackingId=sI26U4CQstpUfkHJVkol1A%3D%3D&amp;keywords=freshman%20intern%20software%20engineering&amp;origin=SEMANTIC_SEARCH_LANDING_PAGE&amp;start=50" TargetMode="External"/><Relationship Id="rId120" Type="http://schemas.openxmlformats.org/officeDocument/2006/relationships/hyperlink" Target="https://jobs.nokia.com/en/sites/CX_1/job/39341/?utm_medium=jobshare&amp;utm_source=External+Job+Share" TargetMode="External"/><Relationship Id="rId358" Type="http://schemas.openxmlformats.org/officeDocument/2006/relationships/hyperlink" Target="https://jobs.lever.co/analyticpartners/f4d7b848-878f-4761-be25-3d6e4f4d1a54" TargetMode="External"/><Relationship Id="rId162" Type="http://schemas.openxmlformats.org/officeDocument/2006/relationships/hyperlink" Target="https://careers.ibm.com/fr_CA/careers/JobDetail?jobId=132407&amp;source=WEB_Search_NA" TargetMode="External"/><Relationship Id="rId218" Type="http://schemas.openxmlformats.org/officeDocument/2006/relationships/hyperlink" Target="https://careers.ibm.com/fr_CA/careers/JobDetail?jobId=130116&amp;source=WEB_Search_NA" TargetMode="External"/><Relationship Id="rId425" Type="http://schemas.openxmlformats.org/officeDocument/2006/relationships/hyperlink" Target="https://recruiting.ultipro.ca/MAT5002MARX/JobBoard/69a03e48-0d5a-46df-9cba-fbcc2c7a9dbc/OpportunityDetail?opportunityId=e5f20ceb-ecca-4c71-a03e-a1fd362432e8" TargetMode="External"/><Relationship Id="rId467" Type="http://schemas.openxmlformats.org/officeDocument/2006/relationships/hyperlink" Target="https://emploi.hydroquebec.com/job/Stage-universitaire-D%C3%A9veloppement-de-programme-%28efficacit%C3%A9-%C3%A9nerg%C3%A9tique%29-Hiver-2027/188297-fr_FR" TargetMode="External"/><Relationship Id="rId271" Type="http://schemas.openxmlformats.org/officeDocument/2006/relationships/hyperlink" Target="https://careerscoopinternen-fgfbrands.icims.com/jobs/26661/product-support-analyst%2c-ai-automation-co-op-%28winter-2027%29/job?mobile=false&amp;width=1209&amp;height=500&amp;bga=true&amp;needsRedirect=false&amp;jan1offset=-300&amp;jun1offset=-240" TargetMode="External"/><Relationship Id="rId24" Type="http://schemas.openxmlformats.org/officeDocument/2006/relationships/hyperlink" Target="https://www.linkedin.com/jobs/view/4462898359/?trackingId=g4yIkAjU%2BUZhSlN8EFap6g%3D%3D&amp;refId=ipIvV5qEyvihhAd%2F1eFFow%3D%3D&amp;eBP=CwEAAAGgg5pSwNYqD9M7QCN4feMu5oY8a2kM3cCTOnJC-RAZqtBWuFsdHTGAyus0dVl07jjcZwPRWQOZ8GdCMxxX6vSLVveN8sgTmsZ1dUaMU_s2RXHpYpkHqbLGkEA-puz-U4K-UVCAM70yh5sI2RdvdFrxKWdOrCdZhGGa8DpWca_g4H5hvLad4m4cH3j9C3-W5xtp0Z3wV7Cmqv9hgg7AG5UKOvlfwM-MY6oRnJHrUb8zEmuKgzRmPxMYAZmbQarAI7JwSJALEujaFbFHLLiX2neBEIqUwPkXlMcmAqita_yRn1ZA2YGVwW0VFM7xHAI6_XBnUy9xxn93E3V8ILxy-M8qhT9EdRUqp3mF9c7fHHV5o6LJHwgG31BTIRRnw6OEJmdS6heT-Y5G1I770ej5okNA3ztSbtre0-mPaJOBb41XignDuBfvcq6oXmUzLcG_y_TEvCo2lRSzh--YaBSpX3ugcDR9DHFrDZcdk1MMN2oYjQ&amp;alternateChannel=search&amp;isJobSearch=false" TargetMode="External"/><Relationship Id="rId66" Type="http://schemas.openxmlformats.org/officeDocument/2006/relationships/hyperlink" Target="https://www.linkedin.com/jobs/view/4461194798/?trackingId=GkDX0jfrO49Zw%2F3zhxIyuw%3D%3D&amp;refId=KGaBqmUfqtwbontFfBXpZw%3D%3D&amp;eBP=NOT_ELIGIBLE_FOR_CHARGING&amp;alternateChannel=search&amp;isJobSearch=false" TargetMode="External"/><Relationship Id="rId131" Type="http://schemas.openxmlformats.org/officeDocument/2006/relationships/hyperlink" Target="https://www.epicgames.com/site/careers/jobs/6147167004" TargetMode="External"/><Relationship Id="rId327" Type="http://schemas.openxmlformats.org/officeDocument/2006/relationships/hyperlink" Target="https://careers.qualcomm.com/careers/job/446721143440" TargetMode="External"/><Relationship Id="rId369" Type="http://schemas.openxmlformats.org/officeDocument/2006/relationships/hyperlink" Target="https://emploi.hydroquebec.com/job/Stage-universitaire-Gestion-de-projets-Hiver-2027/188462-fr_FR" TargetMode="External"/><Relationship Id="rId173" Type="http://schemas.openxmlformats.org/officeDocument/2006/relationships/hyperlink" Target="https://careers.ibm.com/fr_CA/careers/JobDetail?jobId=130067&amp;source=WEB_Search_NA" TargetMode="External"/><Relationship Id="rId229" Type="http://schemas.openxmlformats.org/officeDocument/2006/relationships/hyperlink" Target="https://careers.ibm.com/fr_CA/careers/JobDetail?jobId=130103&amp;source=WEB_Search_NA" TargetMode="External"/><Relationship Id="rId380" Type="http://schemas.openxmlformats.org/officeDocument/2006/relationships/hyperlink" Target="https://emploi.hydroquebec.com/job/Stage-universitaire-Informatique-de-gestion-Hiver-2027/188608-fr_FR" TargetMode="External"/><Relationship Id="rId436" Type="http://schemas.openxmlformats.org/officeDocument/2006/relationships/hyperlink" Target="https://cgi.njoyn.com/CORP/xweb/xweb.asp?NTKN=c&amp;clid=21001&amp;Page=JobDetails&amp;Jobid=J0926-1951&amp;BRID=1335774&amp;lang=1" TargetMode="External"/><Relationship Id="rId240" Type="http://schemas.openxmlformats.org/officeDocument/2006/relationships/hyperlink" Target="https://careers.ibm.com/fr_CA/careers/JobDetail?jobId=128827&amp;source=WEB_Search_NA" TargetMode="External"/><Relationship Id="rId478" Type="http://schemas.openxmlformats.org/officeDocument/2006/relationships/hyperlink" Target="https://emploi.hydroquebec.com/job/Stage-universitaire-Technologies-num%C3%A9riques-Gestion-de-projets-Hiver-2027/188916-fr_FR" TargetMode="External"/><Relationship Id="rId35" Type="http://schemas.openxmlformats.org/officeDocument/2006/relationships/hyperlink" Target="https://www.linkedin.com/company/kpmg-canada/life/" TargetMode="External"/><Relationship Id="rId77" Type="http://schemas.openxmlformats.org/officeDocument/2006/relationships/hyperlink" Target="https://www.linkedin.com/company/intact/life/" TargetMode="External"/><Relationship Id="rId100" Type="http://schemas.openxmlformats.org/officeDocument/2006/relationships/hyperlink" Target="https://www.linkedin.com/jobs/search-results/?currentJobId=4443620979&amp;eBP=CwEAAAGgg6BhFnGctDC4bWZDgpwPAznvoPv9ydqNael9qHjdqso65Mkug4R1FXsRo1m9pcGTKtH9pVhPid_u8LGacvgKh9FMFzmSbcC5n5eyKWxy2WacHcWdYBI3ogJKLKdeyZoPSo5kAPyJkMwFm8KyZYa0eB5nioy6kXmQ5vx94icPGGN3zDsQN-IcdL2pcEr1c-gxB_PX4aesdVHIBgmmFCbER8OtgOeL7l0D73BfvUGOUKTuytpdM3PBk24oE5_BMlZzKuqRDo26HKpsfdr-Oq3_pZdVEa0_lEhDa0YJee6DEzK4dcfFK8UORZR6ffjxzSN2GzL3ufX5n2f8SZ7BUjU3fpXN_2SECgv5jEvovPbJIEp7g-CCdHtH348maWZOxvXsyKbmqLN7IJn2vXE2Sz7zJxnuDNQBZvNFohkI-ErTcY7qrKJ4fuv8P5_b1qFofj3ZjtNS8I7tlRmT4_OFS0LoYlyM9iKWl4MZ2iyfWPkL&amp;refId=0yvpgDSnmqqwfJ%2FA7hfqmw%3D%3D&amp;trackingId=fVNaqisFu8nGVPKehYB2%2Bg%3D%3D&amp;keywords=freshman%20intern%20software%20engineering&amp;origin=SEMANTIC_SEARCH_LANDING_PAGE&amp;start=50" TargetMode="External"/><Relationship Id="rId282" Type="http://schemas.openxmlformats.org/officeDocument/2006/relationships/hyperlink" Target="https://myfuture.mcgill.ca/myAccount/opportunities/internshipscoop/postings.htm" TargetMode="External"/><Relationship Id="rId338" Type="http://schemas.openxmlformats.org/officeDocument/2006/relationships/hyperlink" Target="https://careers.qualcomm.com/careers/job/446721156182" TargetMode="External"/><Relationship Id="rId503" Type="http://schemas.openxmlformats.org/officeDocument/2006/relationships/table" Target="../tables/table1.xml"/><Relationship Id="rId8" Type="http://schemas.openxmlformats.org/officeDocument/2006/relationships/hyperlink" Target="https://careers.beenox.com/us/en/job/R027935/Stagiaire-Programmation-de-Moteur-Beenox-Hiver-2027" TargetMode="External"/><Relationship Id="rId142" Type="http://schemas.openxmlformats.org/officeDocument/2006/relationships/hyperlink" Target="https://careers.ibm.com/fr_CA/careers/JobDetail?jobId=131307&amp;source=WEB_Search_NA" TargetMode="External"/><Relationship Id="rId184" Type="http://schemas.openxmlformats.org/officeDocument/2006/relationships/hyperlink" Target="https://careers.ibm.com/fr_CA/careers/JobDetail?jobId=131828&amp;source=WEB_Search_NA" TargetMode="External"/><Relationship Id="rId391" Type="http://schemas.openxmlformats.org/officeDocument/2006/relationships/hyperlink" Target="https://emploi.hydroquebec.com/job/Stage-universitaire-Analyse-de-donn%C3%A9es-Hiver-2027/188411-fr_FR" TargetMode="External"/><Relationship Id="rId405" Type="http://schemas.openxmlformats.org/officeDocument/2006/relationships/hyperlink" Target="https://www.drw.com/work-at-drw/listings/software-developer-intern-3466687" TargetMode="External"/><Relationship Id="rId447" Type="http://schemas.openxmlformats.org/officeDocument/2006/relationships/hyperlink" Target="https://career17.sapsf.com/portalcareer?_s.crb=BOFeYB0lJXzLlrwxTm71dqklHopkD61Qu8XjmkISPiQ%253d" TargetMode="External"/><Relationship Id="rId251" Type="http://schemas.openxmlformats.org/officeDocument/2006/relationships/hyperlink" Target="https://careers.ibm.com/fr_CA/careers/JobDetail?jobId=128818&amp;source=WEB_Search_NA" TargetMode="External"/><Relationship Id="rId489" Type="http://schemas.openxmlformats.org/officeDocument/2006/relationships/hyperlink" Target="https://emploi.hydroquebec.com/job/Stage-universitaire-Technologies-num%C3%A9riques-D%C3%A9veloppement-Hiver-2027/189043-fr_FR" TargetMode="External"/><Relationship Id="rId46" Type="http://schemas.openxmlformats.org/officeDocument/2006/relationships/hyperlink" Target="https://www.linkedin.com/jobs/search-results/?currentJobId=4459522711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refId=KGaBqmUfqtwbontFfBXpZw%3D%3D&amp;trackingId=RUtCS3TnLcLViV%2F5x594UQ%3D%3D&amp;keywords=freshman%20intern%20software%20engineering&amp;origin=SEMANTIC_SEARCH_LANDING_PAGE" TargetMode="External"/><Relationship Id="rId293" Type="http://schemas.openxmlformats.org/officeDocument/2006/relationships/hyperlink" Target="https://bci.wd10.myworkdayjobs.com/en-US/BCI_Careers/details/AI-and-Automation-Engineer-Co-op-Internship--Winter---Summer-2027-_JR101597-1" TargetMode="External"/><Relationship Id="rId307" Type="http://schemas.openxmlformats.org/officeDocument/2006/relationships/hyperlink" Target="https://jobs.smartrecruiters.com/oneclick-ui/company/GDMSI/publication/8b87786e-2a72-4469-aba9-bd3a491abb5a?dcr_ci=GDMSI&amp;vq_campaign=faa8277b-d921-542a-a92d-4a65366f9ddc&amp;vq_source=54851605-81a3-4507-a744-1b28be5be283&amp;igbTracker=962609396&amp;utm_source=mcgilluniversity" TargetMode="External"/><Relationship Id="rId349" Type="http://schemas.openxmlformats.org/officeDocument/2006/relationships/hyperlink" Target="https://careers.qualcomm.com/careers/job/446721142985" TargetMode="External"/><Relationship Id="rId88" Type="http://schemas.openxmlformats.org/officeDocument/2006/relationships/hyperlink" Target="https://www.linkedin.com/jobs/search-results/?currentJobId=4464906044&amp;eBP=NOT_ELIGIBLE_FOR_CHARGING&amp;refId=c%2Fg0DEk%2BjRgXcGAgk%2FOiSw%3D%3D&amp;trackingId=WPBYtfEa%2FMj5gMX9kpJ4bg%3D%3D&amp;keywords=freshman%20intern%20software%20engineering&amp;origin=SEMANTIC_SEARCH_LANDING_PAGE&amp;start=25" TargetMode="External"/><Relationship Id="rId111" Type="http://schemas.openxmlformats.org/officeDocument/2006/relationships/hyperlink" Target="https://www.linkedin.com/jobs/search-results/?currentJobId=4460652432&amp;eBP=CwEAAAGgg6Eplvosre7XAg90uoHNzvyyafnYLXQpE7j89Tcgt9GDUJFwlUURhNjAE7wKroj2pvvmp4-ZkKoi0nuxY35Av8zqGRel22LblPJ6aiiY-7alIFXzy_VewX9-gDc0AufOhcVOLhFrK2rVWvGdzJrVA_yg5owq1e_LscZa7waVieV7teRQrymYcDfuFWnKZaH_ZCxSITT8STkfFvNnlm6b3Z02fUH4FhiwP9zA3gt6lav9VwXgMUYzDEQOKzGdKtpXAeT1-Fcd_iviOpDrYgofm9c3Na2X2TGMRuEbzEApXDdxZS9MwY-XanVACgUFBq1MFPt_oxEL0ZLD0jA6ppwwpNNS4r60rwwBCjqwu6PQAYTdpcjjJMKEvvpBhtEYF982Thvy15IvzMmy4WdM1INgqL8cmcEePk0POr32lCJY_KW_aEGLVKjI6eWduO1gXXpGvp7tv6yF2ugiWedpjOykyjwbxIqp6XIXT2c&amp;refId=H6o4pxawrkb3Pa15PnEvqg%3D%3D&amp;trackingId=W8srJD4%2FPKZm6edTrsbQrA%3D%3D&amp;keywords=freshman%20intern%20software%20engineering&amp;origin=SEMANTIC_SEARCH_LANDING_PAGE&amp;start=75" TargetMode="External"/><Relationship Id="rId153" Type="http://schemas.openxmlformats.org/officeDocument/2006/relationships/hyperlink" Target="https://careers.ibm.com/fr_CA/careers/JobDetail?jobId=129661&amp;source=WEB_Search_NA" TargetMode="External"/><Relationship Id="rId195" Type="http://schemas.openxmlformats.org/officeDocument/2006/relationships/hyperlink" Target="https://careers.ibm.com/fr_CA/careers/JobDetail?jobId=128792&amp;source=WEB_Search_NA" TargetMode="External"/><Relationship Id="rId209" Type="http://schemas.openxmlformats.org/officeDocument/2006/relationships/hyperlink" Target="https://careers.ibm.com/fr_CA/careers/JobDetail?jobId=130043&amp;source=WEB_Search_NA" TargetMode="External"/><Relationship Id="rId360" Type="http://schemas.openxmlformats.org/officeDocument/2006/relationships/hyperlink" Target="https://flexspring.bamboohr.com/careers/69" TargetMode="External"/><Relationship Id="rId416" Type="http://schemas.openxmlformats.org/officeDocument/2006/relationships/hyperlink" Target="https://recruiting.ultipro.ca/MAT5002MARX/JobBoard/69a03e48-0d5a-46df-9cba-fbcc2c7a9dbc/OpportunityDetail?opportunityId=621fe50f-3927-436c-af65-54f170651468" TargetMode="External"/><Relationship Id="rId220" Type="http://schemas.openxmlformats.org/officeDocument/2006/relationships/hyperlink" Target="https://careers.ibm.com/fr_CA/careers/JobDetail?jobId=128742&amp;source=WEB_Search_NA" TargetMode="External"/><Relationship Id="rId458" Type="http://schemas.openxmlformats.org/officeDocument/2006/relationships/hyperlink" Target="https://emploi.hydroquebec.com/job/Stage-universitaire-Informatique-de-gestion-Hiver-2027/188651-fr_FR" TargetMode="External"/><Relationship Id="rId15" Type="http://schemas.openxmlformats.org/officeDocument/2006/relationships/hyperlink" Target="https://jobs.rbc.com/ca/en/job/R-0000184491/2027-Winter-Student-Opportunities-Technology-Operations-Software-Developer-%C2%A012-Months" TargetMode="External"/><Relationship Id="rId57" Type="http://schemas.openxmlformats.org/officeDocument/2006/relationships/hyperlink" Target="https://www.linkedin.com/jobs/view/4451944512/?trackingId=y2O0pUPhxVDpfAC71Q8chA%3D%3D&amp;refId=KGaBqmUfqtwbontFfBXpZw%3D%3D&amp;eBP=CwEAAAGgg51nvbX7PN6TRWBaimWvhwcgggapKhOan0Yz3R70YE1bG4I-R9vh3NPd5dcvpy1D4-etHnLDrzA4Pkf1LeSSU0kp3hR3idVLKW41BhpnFPD_-AGtiuCIqiNeNWX5EY7ovMtI1mPUixmkEaihw9Q7ETqSC_CwU_YisIgp9dFBL1eXwCdPxik8DLCHZc-kbwZu_nc8JYHhZp8Tx4LR9LiboWHXj_2v3G5XaHxLxmQViiE--CHpZzsBLIFZLTsK3EH5YtLYSdOZNiR63gTMGIfr2UF5lfrxWcyw2iwM2IoURoZxQT3Aqaze0E8QGea5w0-NO0qPHJvbq5qesDcNNOdzE4aCvH0jwm0e1AMiqj2WY3iu_7R0mdJzndXZ4gYVTWPfwVsrFLbq2Ba-TWpolUYozu_bK6uCksLxfF9gCqlHb-5hsJ5JuSdw6SgqMzZ02DOkGuurlZT_Igm6T7KvPOv91879Fso9rp2P&amp;alternateChannel=search&amp;isJobSearch=false" TargetMode="External"/><Relationship Id="rId262" Type="http://schemas.openxmlformats.org/officeDocument/2006/relationships/hyperlink" Target="https://careers.ibm.com/fr_CA/careers/JobDetail?jobId=128748&amp;source=WEB_Search_NA" TargetMode="External"/><Relationship Id="rId318" Type="http://schemas.openxmlformats.org/officeDocument/2006/relationships/hyperlink" Target="https://jobs.dayforcehcm.com/en-US/mydayforce/InternshipsandCoops/jobs/102385" TargetMode="External"/><Relationship Id="rId99" Type="http://schemas.openxmlformats.org/officeDocument/2006/relationships/hyperlink" Target="https://www.linkedin.com/jobs/view/4443620979/?trackingId=fVNaqisFu8nGVPKehYB2%2Bg%3D%3D&amp;refId=0yvpgDSnmqqwfJ%2FA7hfqmw%3D%3D&amp;eBP=CwEAAAGgg6BhFnGctDC4bWZDgpwPAznvoPv9ydqNael9qHjdqso65Mkug4R1FXsRo1m9pcGTKtH9pVhPid_u8LGacvgKh9FMFzmSbcC5n5eyKWxy2WacHcWdYBI3ogJKLKdeyZoPSo5kAPyJkMwFm8KyZYa0eB5nioy6kXmQ5vx94icPGGN3zDsQN-IcdL2pcEr1c-gxB_PX4aesdVHIBgmmFCbER8OtgOeL7l0D73BfvUGOUKTuytpdM3PBk24oE5_BMlZzKuqRDo26HKpsfdr-Oq3_pZdVEa0_lEhDa0YJee6DEzK4dcfFK8UORZR6ffjxzSN2GzL3ufX5n2f8SZ7BUjU3fpXN_2SECgv5jEvovPbJIEp7g-CCdHtH348maWZOxvXsyKbmqLN7IJn2vXE2Sz7zJxnuDNQBZvNFohkI-ErTcY7qrKJ4fuv8P5_b1qFofj3ZjtNS8I7tlRmT4_OFS0LoYlyM9iKWl4MZ2iyfWPkL&amp;alternateChannel=search&amp;isJobSearch=false" TargetMode="External"/><Relationship Id="rId122" Type="http://schemas.openxmlformats.org/officeDocument/2006/relationships/hyperlink" Target="https://www.huwiz.com/careers/" TargetMode="External"/><Relationship Id="rId164" Type="http://schemas.openxmlformats.org/officeDocument/2006/relationships/hyperlink" Target="https://careers.ibm.com/fr_CA/careers/JobDetail?jobId=128716&amp;source=WEB_Search_NA" TargetMode="External"/><Relationship Id="rId371" Type="http://schemas.openxmlformats.org/officeDocument/2006/relationships/hyperlink" Target="https://emploi.hydroquebec.com/job/Stage-universitaire-D%C3%A9veloppement-d&amp;apos;outils-et-analyse-de-donn%C3%A9es-%28%C3%A9olien%29-Hiver-2027/188461-fr_FR" TargetMode="External"/><Relationship Id="rId427" Type="http://schemas.openxmlformats.org/officeDocument/2006/relationships/hyperlink" Target="https://orthogone.com/new-grads-interns/" TargetMode="External"/><Relationship Id="rId469" Type="http://schemas.openxmlformats.org/officeDocument/2006/relationships/hyperlink" Target="https://emploi.hydroquebec.com/job/Stage-universitaire-Recherche-et-d%C3%A9veloppement-Hiver-2027/188302-fr_FR" TargetMode="External"/><Relationship Id="rId26" Type="http://schemas.openxmlformats.org/officeDocument/2006/relationships/hyperlink" Target="https://www.linkedin.com/company/kinaxis/life/" TargetMode="External"/><Relationship Id="rId231" Type="http://schemas.openxmlformats.org/officeDocument/2006/relationships/hyperlink" Target="https://careers.ibm.com/fr_CA/careers/JobDetail?jobId=128825&amp;source=WEB_Search_NA" TargetMode="External"/><Relationship Id="rId273" Type="http://schemas.openxmlformats.org/officeDocument/2006/relationships/hyperlink" Target="https://careerscoopinternen-fgfbrands.icims.com/jobs/26839/it-technician-co-op-%28winter-2027%29/job" TargetMode="External"/><Relationship Id="rId329" Type="http://schemas.openxmlformats.org/officeDocument/2006/relationships/hyperlink" Target="https://careers.qualcomm.com/careers/job/446721229661" TargetMode="External"/><Relationship Id="rId480" Type="http://schemas.openxmlformats.org/officeDocument/2006/relationships/hyperlink" Target="https://emploi.hydroquebec.com/job/Stage-universitaire-Analyse-de-donn%C3%A9es-Hiver-2027/188411-fr_FR" TargetMode="External"/><Relationship Id="rId68" Type="http://schemas.openxmlformats.org/officeDocument/2006/relationships/hyperlink" Target="https://www.linkedin.com/company/ibm/life/" TargetMode="External"/><Relationship Id="rId133" Type="http://schemas.openxmlformats.org/officeDocument/2006/relationships/hyperlink" Target="https://www.epicgames.com/site/careers/jobs/6174265004" TargetMode="External"/><Relationship Id="rId175" Type="http://schemas.openxmlformats.org/officeDocument/2006/relationships/hyperlink" Target="https://careers.ibm.com/fr_CA/careers/JobDetail?jobId=128562&amp;source=WEB_Search_NA" TargetMode="External"/><Relationship Id="rId340" Type="http://schemas.openxmlformats.org/officeDocument/2006/relationships/hyperlink" Target="https://careers.qualcomm.com/careers/job/446721156800" TargetMode="External"/><Relationship Id="rId200" Type="http://schemas.openxmlformats.org/officeDocument/2006/relationships/hyperlink" Target="https://careers.ibm.com/fr_CA/careers/JobDetail?jobId=128797&amp;source=WEB_Search_NA" TargetMode="External"/><Relationship Id="rId382" Type="http://schemas.openxmlformats.org/officeDocument/2006/relationships/hyperlink" Target="https://emploi.hydroquebec.com/job/Stage-universitaire-Informatique-de-gestion-Hiver-2027/188307-fr_FR" TargetMode="External"/><Relationship Id="rId438" Type="http://schemas.openxmlformats.org/officeDocument/2006/relationships/hyperlink" Target="https://cgi.njoyn.com/CORP/xweb/xweb.asp?NTKN=c&amp;clid=21001&amp;Page=JobDetails&amp;Jobid=J0926-1035&amp;BRID=1335754&amp;lang=1" TargetMode="External"/><Relationship Id="rId242" Type="http://schemas.openxmlformats.org/officeDocument/2006/relationships/hyperlink" Target="https://careers.ibm.com/fr_CA/careers/JobDetail?jobId=128772&amp;source=WEB_Search_NA" TargetMode="External"/><Relationship Id="rId284" Type="http://schemas.openxmlformats.org/officeDocument/2006/relationships/hyperlink" Target="https://careerscoopinternen-fgfbrands.icims.com/jobs/26930/engineering-technician-intern---process-%28winter-2027%29/job" TargetMode="External"/><Relationship Id="rId491" Type="http://schemas.openxmlformats.org/officeDocument/2006/relationships/hyperlink" Target="https://emploi.hydroquebec.com/job/Stage-universitaire-Gestion-des-op%C3%A9rations-Hiver-2027/188280-fr_FR" TargetMode="External"/><Relationship Id="rId37" Type="http://schemas.openxmlformats.org/officeDocument/2006/relationships/hyperlink" Target="https://www.linkedin.com/jobs/search-results/?currentJobId=4404519706&amp;eBP=CwEAAAGgg51nvdpkZS14I6tcm6mOl2asbCOM770yAkh3btp34mvT0SbMUvB5C1ZrSR4QvCOZ2spHt4XVT9MHY-eUFLinUszdoxgMc87WdowcEuoUnUWHlku8O7qSd9MODBTi3iuhnhYqpjbKU_6tO9rAQqcprOMfwDSd9TD1QTaD0JKftCVO2Oys3l0KQbcS6q3DfpNzVQGE6GNzqvzR1BLIFU98w8Pxmjr_ctRHKO_L4dm5CzT0IgRL-aX1hyfAlmY1uYeysGI1VpYllebAPMkohheZGxzL3r6w4O5oacuZcrNWmk-EQ9kjx5LvwhxlvqgMnSwb6n3jm-HLhQg_j-WhrOW7dBFqXMVozxIr7dkq9vXNUQfNiMMwlg4yLEVru4uj4GIQmr9EM5WauX-C4Oi6uy7sju_juJGcCvbA-eddXFyVFv-9ZcXzhMcC_A3I5dOpqoritfFiOAqpD06EsKaC_pEdqOaUTlmldCdn&amp;refId=KGaBqmUfqtwbontFfBXpZw%3D%3D&amp;trackingId=w8Aw4TqFZ4A%2FgTsjy8ygOw%3D%3D&amp;keywords=freshman%20intern%20software%20engineering&amp;origin=SEMANTIC_SEARCH_LANDING_PAGE" TargetMode="External"/><Relationship Id="rId79" Type="http://schemas.openxmlformats.org/officeDocument/2006/relationships/hyperlink" Target="https://www.linkedin.com/jobs/search-results/?currentJobId=4463524795&amp;eBP=CwEAAAGgg58aZtv6F_bmbTHruI9CT_ePoDgh8FWujprt_edQv0EJw1YFBRWNECvfSQGjvIOHwRVa7l5ZSqb1Lh9p8KyW_mLRb5C0ulfwD9NKY1rP4A8YXoOdh5pf5zHs1CpV_jJrAwg7kMkGuU9NmBmIMeL8aCS3XeVML_hUI8fvUXvMWFjKvWmfiUVHVb9cc_UgoHoaDlOJzRi85CfB1tEqCKSsqO0BCH5p0qz7oimbAvv2vtPc1ZnNirDxZvfYCbYAEL0iI3cPfEzvhp-W2NI6Sn9OtAoeq2AlnDD27Ge8yjc1EiTCLwzSe3gZMq34r3puv3ANQnCm1dLbhcwCpOUz3Fc00RtTdGHZHlH7qVLIOZMl1XNY-jCxFYm9ilD9T-TRQutUZqR6SQ-EQbX04HW3wLz7f_HNrNaY1pnId_IzBg_bPs32Csy8c73oH0WffcnqtMl22OP-oAnE7dqWMUlgBBoYdkRYdfxCA3QVt5p6hYDzKJfk5g&amp;refId=c%2Fg0DEk%2BjRgXcGAgk%2FOiSw%3D%3D&amp;trackingId=AD1RgszIlWBckl%2FGHYd2QQ%3D%3D&amp;keywords=freshman%20intern%20software%20engineering&amp;origin=SEMANTIC_SEARCH_LANDING_PAGE&amp;start=25" TargetMode="External"/><Relationship Id="rId102" Type="http://schemas.openxmlformats.org/officeDocument/2006/relationships/hyperlink" Target="https://www.linkedin.com/jobs/search-results/?currentJobId=4450344703&amp;eBP=CwEAAAGgg6BhFg_-bL05Pr5fOQPJdyjyzqp5BQr3MbwPn-1NL06v5MNi2OcWiQQdTpStbXklMUJISKkpuaLeQQY-B9Wr2hv10x5-z4Q7H27y_cjQeo6Ks3R-N9cbRCZHFoHGMY3m80YHO_eOebXoxDrZfX4XEcw7ur6cMMKaLMoqV8ZbagR48Tsu-hrSsb2_JWm41ga1rwQrkzgC3vaZzLUtqhlXz2SeF0AArq3kaSDdODCjHFFJ2VpiUk7Ct6mKLKPyFQRlMDwWEjpO0rhkEI_lLmMCR3FdQw_jvis962t4JnDlDtzL6LhNG7fL5UVZ0vpn-rqVDJ1xsystkxc4pliZQZ-kSMR0ucpqFvj4XWwyvL6IB3jXYkQ9FVm64vTEntB_sVVWMK7f84GkeCkpxVW_m_mc9wUhA1O03tpfmTHDnWBCj1cCdGWfbQZVwJjCJ7CjwpcEqd0jW_iZbo-RBiDzUV4yB9ZyeHtY_8dyjpk&amp;refId=0yvpgDSnmqqwfJ%2FA7hfqmw%3D%3D&amp;trackingId=FYAoAdBgWs2rBdcyCA7lrw%3D%3D&amp;keywords=freshman%20intern%20software%20engineering&amp;origin=SEMANTIC_SEARCH_LANDING_PAGE&amp;start=50" TargetMode="External"/><Relationship Id="rId144" Type="http://schemas.openxmlformats.org/officeDocument/2006/relationships/hyperlink" Target="https://careers.ibm.com/fr_CA/careers/JobDetail?jobId=130144&amp;source=WEB_Search_NA" TargetMode="External"/><Relationship Id="rId90" Type="http://schemas.openxmlformats.org/officeDocument/2006/relationships/hyperlink" Target="https://www.linkedin.com/jobs/view/4220492098/?trackingId=4XuMVWhpnqlLtrXnMQvohA%3D%3D&amp;refId=0yvpgDSnmqqwfJ%2FA7hfqmw%3D%3D&amp;eBP=NOT_ELIGIBLE_FOR_CHARGING&amp;alternateChannel=search&amp;isJobSearch=false" TargetMode="External"/><Relationship Id="rId186" Type="http://schemas.openxmlformats.org/officeDocument/2006/relationships/hyperlink" Target="https://careers.ibm.com/fr_CA/careers/JobDetail?jobId=129637&amp;source=WEB_Search_NA" TargetMode="External"/><Relationship Id="rId351" Type="http://schemas.openxmlformats.org/officeDocument/2006/relationships/hyperlink" Target="https://jobs.lever.co/veeva/85fe3393-f296-4463-88a2-5454c6ba334b" TargetMode="External"/><Relationship Id="rId393" Type="http://schemas.openxmlformats.org/officeDocument/2006/relationships/hyperlink" Target="https://emploi.hydroquebec.com/job/Stage-universitaire-Technologies-num%C3%A9riques-Gestion-de-projets-Hiver-2027/188916-fr_FR" TargetMode="External"/><Relationship Id="rId407" Type="http://schemas.openxmlformats.org/officeDocument/2006/relationships/hyperlink" Target="https://www.famictech.com/en/Company/Careers/Internships" TargetMode="External"/><Relationship Id="rId449" Type="http://schemas.openxmlformats.org/officeDocument/2006/relationships/hyperlink" Target="https://career17.sapsf.com/portalcareer?_s.crb=BOFeYB0lJXzLlrwxTm71dqklHopkD61Qu8XjmkISPiQ%253d" TargetMode="External"/><Relationship Id="rId211" Type="http://schemas.openxmlformats.org/officeDocument/2006/relationships/hyperlink" Target="https://careers.ibm.com/fr_CA/careers/JobDetail?jobId=128818&amp;source=WEB_Search_NA" TargetMode="External"/><Relationship Id="rId253" Type="http://schemas.openxmlformats.org/officeDocument/2006/relationships/hyperlink" Target="https://careers.ibm.com/fr_CA/careers/JobDetail?jobId=129628&amp;source=WEB_Search_NA" TargetMode="External"/><Relationship Id="rId295" Type="http://schemas.openxmlformats.org/officeDocument/2006/relationships/hyperlink" Target="https://bci.wd10.myworkdayjobs.com/en-US/BCI_Careers/details/Software-Engineer-Co-op-Internship--Winter-2027-_JR101590" TargetMode="External"/><Relationship Id="rId309" Type="http://schemas.openxmlformats.org/officeDocument/2006/relationships/hyperlink" Target="https://intelcomgroup.wd3.myworkdayjobs.com/en-US/Intelcom/job/Software-Development-Intern---Warehouse-Productivity_JR111578-1" TargetMode="External"/><Relationship Id="rId460" Type="http://schemas.openxmlformats.org/officeDocument/2006/relationships/hyperlink" Target="https://emploi.hydroquebec.com/job/Stage-universitaire-Informatique-Hiver-2027/188648-fr_FR" TargetMode="External"/><Relationship Id="rId48" Type="http://schemas.openxmlformats.org/officeDocument/2006/relationships/hyperlink" Target="https://www.linkedin.com/jobs/view/4463548250/?trackingId=tArbCkiY4jd7nzWSskffPw%3D%3D&amp;refId=KGaBqmUfqtwbontFfBXpZw%3D%3D&amp;eBP=CwEAAAGgg51nvci9OkLe_L7s_jJVGNHurAdoNkyHYRDe991W5r3AqwQO1PzjeU_WOzQkLKlS5VPv324tF3iqfHkLtHRxHjrNkItu5rERexJuDk3-g_q2hZQuUuhsJYp0oVG2in59ta2Oyw965c7cMIfxk1Um056_d29eQgNItMhZy_Mzq8alehMI7XUKMin_NMbsRRoWvPRfB4ZbvU-BOUZpA_BEuhu7-05_YGE4Zneo9XtNCv3e-hdrIUQCuRHVh8Z5cuyDU6MuwgT_Qg2BOXGn5YnU3BUpZmkJTbGyroii2jCAjsiLhWs2TGV5NEy3qXKLc2Bqz_HvpY9XvaS1dj3eMBHdHP_-Sqx1F4S3DEhzSj0v-xJoyRYrkTcoqRVQFRWjt2mUXXaz-eFuUaUqVVxXKl7s1waC0ZG0A-LdPXVx2jtewrWg5L80cEnWartk-2-8MJwoUCUccwQNIUTYR0Ut_PS2qoh_2IL1TYXMcfxO2w&amp;alternateChannel=search&amp;isJobSearch=false" TargetMode="External"/><Relationship Id="rId113" Type="http://schemas.openxmlformats.org/officeDocument/2006/relationships/hyperlink" Target="https://www.linkedin.com/jobs/view/4319888047/?trackingId=Wb0zGULuHMuOt7mRasDK1Q%3D%3D&amp;refId=H6o4pxawrkb3Pa15PnEvqg%3D%3D&amp;eBP=NOT_ELIGIBLE_FOR_CHARGING&amp;alternateChannel=search&amp;isJobSearch=false" TargetMode="External"/><Relationship Id="rId320" Type="http://schemas.openxmlformats.org/officeDocument/2006/relationships/hyperlink" Target="https://jobs.dayforcehcm.com/en-US/mydayforce/InternshipsandCoops/jobs/102413" TargetMode="External"/><Relationship Id="rId155" Type="http://schemas.openxmlformats.org/officeDocument/2006/relationships/hyperlink" Target="https://careers.ibm.com/fr_CA/careers/JobDetail?jobId=128513&amp;source=WEB_Search_NA" TargetMode="External"/><Relationship Id="rId197" Type="http://schemas.openxmlformats.org/officeDocument/2006/relationships/hyperlink" Target="https://careers.ibm.com/fr_CA/careers/JobDetail?jobId=129628&amp;source=WEB_Search_NA" TargetMode="External"/><Relationship Id="rId362" Type="http://schemas.openxmlformats.org/officeDocument/2006/relationships/hyperlink" Target="https://www.tourmalineoil.com/careers/data-and-analytics-intern-student" TargetMode="External"/><Relationship Id="rId418" Type="http://schemas.openxmlformats.org/officeDocument/2006/relationships/hyperlink" Target="https://recruiting.ultipro.ca/MAT5002MARX/JobBoard/69a03e48-0d5a-46df-9cba-fbcc2c7a9dbc/OpportunityDetail?opportunityId=5d3c3530-7ef4-4f2d-918b-79e18981643c" TargetMode="External"/><Relationship Id="rId222" Type="http://schemas.openxmlformats.org/officeDocument/2006/relationships/hyperlink" Target="https://careers.ibm.com/fr_CA/careers/JobDetail?jobId=127714&amp;source=WEB_Search_NA" TargetMode="External"/><Relationship Id="rId264" Type="http://schemas.openxmlformats.org/officeDocument/2006/relationships/hyperlink" Target="https://intactfc.wd3.myworkdayjobs.com/en-US/intactfc/job/Montral-Quebec-CAN/Android-Developer--4-months-Internship-Coop--Winter-2027---_R155691?workerSubType=614baa0178de1001234b4aeefbfe0001" TargetMode="External"/><Relationship Id="rId471" Type="http://schemas.openxmlformats.org/officeDocument/2006/relationships/hyperlink" Target="https://emploi.hydroquebec.com/job/Stage-universitaire-Informatique-de-gestion-Hiver-2027/188307-fr_FR" TargetMode="External"/><Relationship Id="rId17" Type="http://schemas.openxmlformats.org/officeDocument/2006/relationships/hyperlink" Target="https://www.linkedin.com/jobs/search-results/?currentJobId=4462704383&amp;eBP=NON_CHARGEABLE_CHANNEL&amp;refId=ipIvV5qEyvihhAd%2F1eFFow%3D%3D&amp;trackingId=6eAgSF%2F58J%2FGwS5dlBDBWg%3D%3D&amp;showHowYouFit=HOW_YOU_FIT&amp;keywords=stage%20en%20d%C3%A9veloppement%20logiciel&amp;origin=QUALIFICATION_LANDING&amp;geoId=90009543" TargetMode="External"/><Relationship Id="rId59" Type="http://schemas.openxmlformats.org/officeDocument/2006/relationships/hyperlink" Target="https://www.linkedin.com/company/flexspring/life/" TargetMode="External"/><Relationship Id="rId124" Type="http://schemas.openxmlformats.org/officeDocument/2006/relationships/hyperlink" Target="https://www.epicgames.com/site/careers/jobs/6147283004" TargetMode="External"/><Relationship Id="rId70" Type="http://schemas.openxmlformats.org/officeDocument/2006/relationships/hyperlink" Target="https://www.linkedin.com/jobs/search-results/?currentJobId=4458029550&amp;eBP=CwEAAAGgg58aZu3EJlCxkSN5hD7FtRl1ksLtwpynTAeU2uq35UfHrZloFZ7Lx-nmNIFHjd7mGo61khR-4N0vErTvNqkK4DpiwQEyreEMjjqyXoY6KwtpPTw69JaFQIxMWQ8Z4AtscSDD-LRLYyXnAr5iYlgTd7Us7tjjYqL1StemEguyCd-eTDYiWYBIOYEwrqz2X1FAOkGcqjkEOapRvOozwfxz-MR_xmW_83kWfDBh1BYR-xgrbZdKvg90nQz7Hj1DY53-d-dDBAwMdK9xNUsWa3-beyoWsLHMR1U4_8Apj13UUyebA_3RY2yhXtuwdrrvfZ0AxcdoWgM7LOcsPFMEnvwBkrga4IIfQOgJ6ibM5Uc2B3o6GTjkHDzwN-3fdoruqTUZXKaDCzrheG456DFWWXpBasXDcqXrzM-JkTfELnFtt21wd8id4BSXrB3hHBd8AZZ9-ti3kkcH3ucuK3ZfdtIfli8-t1w8KY4xG9NV_FRvn-o&amp;refId=c%2Fg0DEk%2BjRgXcGAgk%2FOiSw%3D%3D&amp;trackingId=UQcuwsH%2FVNW95D4EdtdGiA%3D%3D&amp;keywords=freshman%20intern%20software%20engineering&amp;origin=SEMANTIC_SEARCH_LANDING_PAGE&amp;start=25" TargetMode="External"/><Relationship Id="rId166" Type="http://schemas.openxmlformats.org/officeDocument/2006/relationships/hyperlink" Target="https://careers.ibm.com/fr_CA/careers/JobDetail?jobId=129783&amp;source=WEB_Search_NA" TargetMode="External"/><Relationship Id="rId331" Type="http://schemas.openxmlformats.org/officeDocument/2006/relationships/hyperlink" Target="https://careers.qualcomm.com/careers/job/446721109168" TargetMode="External"/><Relationship Id="rId373" Type="http://schemas.openxmlformats.org/officeDocument/2006/relationships/hyperlink" Target="https://emploi.hydroquebec.com/job/Stage-universitaire-Technologies-num%C3%A9riques-Cybers%C3%A9curit%C3%A9-Hiver-2027/188478-fr_FR" TargetMode="External"/><Relationship Id="rId429" Type="http://schemas.openxmlformats.org/officeDocument/2006/relationships/hyperlink" Target="https://brimfinancial.com/careers?jobId=F0D50B5E-C9AC-6EA3-A8F6-D55672EC547C" TargetMode="External"/><Relationship Id="rId1" Type="http://schemas.openxmlformats.org/officeDocument/2006/relationships/hyperlink" Target="https://emplois.carrieres.gouv.qc.ca/plateforme-emploi/poste/21629" TargetMode="External"/><Relationship Id="rId233" Type="http://schemas.openxmlformats.org/officeDocument/2006/relationships/hyperlink" Target="https://careers.ibm.com/fr_CA/careers/JobDetail?jobId=128810&amp;source=WEB_Search_NA" TargetMode="External"/><Relationship Id="rId440" Type="http://schemas.openxmlformats.org/officeDocument/2006/relationships/hyperlink" Target="https://cgi.njoyn.com/CORP/xweb/xweb.asp?NTKN=c&amp;clid=21001&amp;Page=JobDetails&amp;Jobid=J0926-1501&amp;BRID=1334390&amp;lang=1" TargetMode="External"/><Relationship Id="rId28" Type="http://schemas.openxmlformats.org/officeDocument/2006/relationships/hyperlink" Target="https://www.linkedin.com/jobs/search-results/?currentJobId=4462889469&amp;eBP=CwEAAAGgg5pSwBg5tNL5L-cpZ9w1Jc1fl3-raI_c40O4LWhPz1rG524PfuvbYfy4ou5H8TbGgGEXBJ6Sq15f770CDv_RNjkjF0A2t2NT2_rLui2qxr7LANvQZsdd8Rn0X5QAqp0q_Ub3LVPX9-5H8TKlNID2sUVndCW_ndWRU__dXATmhYP1IS0x9PdL0yxP9fS0MnXDPMyeAwJqdrVuzswnCturCkIC-N9e3GgcijgTPjXEHCLMgrr4VX7vSr6J33B7fSYwEVqWzpRKFuzYjWOiJpaWSgkYc_x_o3dFvNtNjK8tqBl-2OOgrgiFXBHcgd-XLwOLpq_GBFHjQT0MPV7XbmA8pYNTqAj5eKxE-43odFq5o3O821tNsFd9zcaDd4FHwg94tJ1jI9_8H8LU2M2tkNkNuvOTzkbmGWETptT3hENLHTO06ie0ccg72pFmqjQbvwfsszO9IF-FAsp3O-UAqtcbR_X9aTfRqWmB5r3kETEEyqmt&amp;refId=ipIvV5qEyvihhAd%2F1eFFow%3D%3D&amp;trackingId=kL8g5ouEyDi%2FXZDyifXdNQ%3D%3D&amp;showHowYouFit=HOW_YOU_FIT&amp;keywords=stage%20en%20d%C3%A9veloppement%20logiciel&amp;origin=QUALIFICATION_LANDING&amp;geoId=90009543" TargetMode="External"/><Relationship Id="rId275" Type="http://schemas.openxmlformats.org/officeDocument/2006/relationships/hyperlink" Target="https://careerscoopinternen-fgfbrands.icims.com/jobs/26847/data-engineer-analytics-and-bi-co-op-%28winter-2027%29/job" TargetMode="External"/><Relationship Id="rId300" Type="http://schemas.openxmlformats.org/officeDocument/2006/relationships/hyperlink" Target="https://jobs.smartrecruiters.com/oneclick-ui/company/GDMSI/publication/d96baef0-eb51-4d59-9672-0d3258855901?dcr_ci=GDMSI&amp;vq_campaign=4e57d3c5-d139-5f94-b2f5-e08a29adbb6d&amp;vq_source=54851605-81a3-4507-a744-1b28be5be283&amp;igbTracker=962609247&amp;utm_source=mcgilluniversity" TargetMode="External"/><Relationship Id="rId482" Type="http://schemas.openxmlformats.org/officeDocument/2006/relationships/hyperlink" Target="https://emploi.hydroquebec.com/job/Stage-universitaire-Administration-des-syst%C3%A8mes-et-des-infrastructures-TI-Hiver-2027/188617-fr_FR" TargetMode="External"/><Relationship Id="rId81" Type="http://schemas.openxmlformats.org/officeDocument/2006/relationships/hyperlink" Target="https://www.linkedin.com/jobs/view/4462052957/?trackingId=EyPhPbswg3VLEuls07KxLQ%3D%3D&amp;refId=c%2Fg0DEk%2BjRgXcGAgk%2FOiSw%3D%3D&amp;eBP=CwEAAAGgg58aZ0eecsPisj8xASUleoeZgHqK5nvUCksxeFxRFQYuDMvCArAMreYxSEbuV8ismpCMktewBAM1Bjm1SUYfbV7RxjljypHKFVhoGM2WpCDeUl8R3IqD9Ms5gEp-9u4jHhjajC-2QUnpybIPGtc-6TMESPi1EeijNlrYzYSOwcZG0Ep5qBUKC4_iu_AHrIDIYWG-anwu0z07ngeswF8KWqLEOOTrasCfLXpbJb8gkEI-qeY16kOZCv512lxE-uFcaxJOidML3-K5IJ_wgFM_6hbXCmrKQnE5XcbJPRCZywq73Z-uknlHUQQMUgigPIHUD_RK56eZpmt7lIUx5sRFXpvH94tE9k09ke4-IsHrxIAq4U9dhGr7UzXC1rPjEAQxupKusLPQaYXX3J0ip0TlTx3IjkRZTEHOhzYDV7VO2ccoGDfGoqYrsQIp4vS2d_AH0GHmV-dwPKA3acNqLLhawQE7xASidhfBukWyI4B-&amp;alternateChannel=search&amp;isJobSearch=false" TargetMode="External"/><Relationship Id="rId135" Type="http://schemas.openxmlformats.org/officeDocument/2006/relationships/hyperlink" Target="https://morganstanley.tal.net/vx/candidate/so/pm/1/pl/1/opp/20936" TargetMode="External"/><Relationship Id="rId177" Type="http://schemas.openxmlformats.org/officeDocument/2006/relationships/hyperlink" Target="https://careers.ibm.com/fr_CA/careers/JobDetail?jobId=130142&amp;source=WEB_Search_NA" TargetMode="External"/><Relationship Id="rId342" Type="http://schemas.openxmlformats.org/officeDocument/2006/relationships/hyperlink" Target="https://careers.qualcomm.com/careers/job/446721156176" TargetMode="External"/><Relationship Id="rId384" Type="http://schemas.openxmlformats.org/officeDocument/2006/relationships/hyperlink" Target="https://emploi.hydroquebec.com/job/Stage-universitaire-Techno_-num%C3%A9riques-Admin_-des-syst%C3%A8mes-et-des-infrastr_-TI-Hiver-2027/188895-fr_FR" TargetMode="External"/><Relationship Id="rId202" Type="http://schemas.openxmlformats.org/officeDocument/2006/relationships/hyperlink" Target="https://careers.ibm.com/fr_CA/careers/JobDetail?jobId=128824&amp;source=WEB_Search_NA" TargetMode="External"/><Relationship Id="rId244" Type="http://schemas.openxmlformats.org/officeDocument/2006/relationships/hyperlink" Target="https://careers.ibm.com/fr_CA/careers/JobDetail?jobId=131828&amp;source=WEB_Search_NA" TargetMode="External"/><Relationship Id="rId39" Type="http://schemas.openxmlformats.org/officeDocument/2006/relationships/hyperlink" Target="https://www.linkedin.com/jobs/view/4461795309/?trackingId=TqdXMhHr8wUqYaZ74JLsXQ%3D%3D&amp;refId=KGaBqmUfqtwbontFfBXpZw%3D%3D&amp;eBP=CwEAAAGgg51nvaS9uSRm4bszWooPUfVghqgOtwGfl_hCeLw9WzRCE5Wu8nPvX3cEUz6QiDs1pxa8QmUgm0edbz6_dVrG_X6-24kb6k_05Efi3MrGqPX8-FvhrLxB7AenYyc_Cf-yTr5f6onCjmaY2yGwNYuh4XROuOW4-iHdiMUOQVxRoXSrHHK6hzNzprcAE5d4pbwxFdBz9u1rGNI_6LhDbiNhh0OrLuwTN0375ZAsIsZNy4sjYGab75s19NroRkC0w0rltJTQpLows3G4kOnk-P4Vdci_pxlM2liMoxSVBPa_uC8nRoryrkr7ypOGyLCERAfNAExU18KpKdXxtoqdx2fD2w9fyEJ4Bf3znP_cpZPn3LZ-DFgNPIoVTmLFX3VIE1eqJ6xW4KrGmf-Mkrzr2Fxi5_LiUAmaPj9IEijvIOv7vPk-TBqCR8OZ_THb0ygdubQLCwiO-jrwpNano9DlmcYQIEAG7_wewqtd&amp;alternateChannel=search&amp;isJobSearch=false" TargetMode="External"/><Relationship Id="rId286" Type="http://schemas.openxmlformats.org/officeDocument/2006/relationships/hyperlink" Target="https://emploi.hydroquebec.com/content/Stages-et-programmes/?locale=fr_FR" TargetMode="External"/><Relationship Id="rId451" Type="http://schemas.openxmlformats.org/officeDocument/2006/relationships/hyperlink" Target="https://emploi.hydroquebec.com/job/Stage-universitaire-Valorisation-des-donn%C3%A9es-et-Power-BI-Hiver-2027/188646-fr_FR" TargetMode="External"/><Relationship Id="rId493" Type="http://schemas.openxmlformats.org/officeDocument/2006/relationships/hyperlink" Target="https://emploi.hydroquebec.com/job/Stage-universitaire-Technologies-num%C3%A9riques-Analyste-fonctionnel-Hiver-2027/189044-fr_FR" TargetMode="External"/><Relationship Id="rId50" Type="http://schemas.openxmlformats.org/officeDocument/2006/relationships/hyperlink" Target="https://www.linkedin.com/company/ericsson/life/" TargetMode="External"/><Relationship Id="rId104" Type="http://schemas.openxmlformats.org/officeDocument/2006/relationships/hyperlink" Target="https://www.linkedin.com/jobs/view/4458281140/?trackingId=Zqft91QGzzcZ%2FH6M1QcEGg%3D%3D&amp;refId=H6o4pxawrkb3Pa15PnEvqg%3D%3D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alternateChannel=search&amp;isJobSearch=false" TargetMode="External"/><Relationship Id="rId146" Type="http://schemas.openxmlformats.org/officeDocument/2006/relationships/hyperlink" Target="https://careers.ibm.com/fr_CA/careers/JobDetail?jobId=128506&amp;source=WEB_Search_NA" TargetMode="External"/><Relationship Id="rId188" Type="http://schemas.openxmlformats.org/officeDocument/2006/relationships/hyperlink" Target="https://careers.ibm.com/fr_CA/careers/JobDetail?jobId=131081&amp;source=WEB_Search_NA" TargetMode="External"/><Relationship Id="rId311" Type="http://schemas.openxmlformats.org/officeDocument/2006/relationships/hyperlink" Target="https://intelcomgroup.wd3.myworkdayjobs.com/en-US/Intelcom/job/Full-Stack-Developer-Intern---Route-Optimization_JR111570-1" TargetMode="External"/><Relationship Id="rId353" Type="http://schemas.openxmlformats.org/officeDocument/2006/relationships/hyperlink" Target="https://fa-ewde-saasfaprod1.fa.ocs.oraclecloud.com/hcmUI/CandidateExperience/fr-CA/sites/CX_1/job/1001326?keyword=stagiaire&amp;mode=location" TargetMode="External"/><Relationship Id="rId395" Type="http://schemas.openxmlformats.org/officeDocument/2006/relationships/hyperlink" Target="https://emploi.hydroquebec.com/job/Stage-universitaire-Technologies-num%C3%A9riques-G%C3%A9nie-logiciel-Hiver-2027/188897-fr_FR" TargetMode="External"/><Relationship Id="rId409" Type="http://schemas.openxmlformats.org/officeDocument/2006/relationships/hyperlink" Target="https://lumentum.wd5.myworkdayjobs.com/en-US/LITE/details/Reliability-Test-Automation-Engineer--Co-op-Intern-_20261382?workerSubType=01232ead616f01ef5e875b3e6310c01d&amp;workerSubType=01232ead616f01895fdd7a406310c91d" TargetMode="External"/><Relationship Id="rId92" Type="http://schemas.openxmlformats.org/officeDocument/2006/relationships/hyperlink" Target="https://www.linkedin.com/company/huawei-technologies-canada-co-ltd/life/" TargetMode="External"/><Relationship Id="rId213" Type="http://schemas.openxmlformats.org/officeDocument/2006/relationships/hyperlink" Target="https://careers.ibm.com/fr_CA/careers/JobDetail?jobId=128709&amp;source=WEB_Search_NA" TargetMode="External"/><Relationship Id="rId420" Type="http://schemas.openxmlformats.org/officeDocument/2006/relationships/hyperlink" Target="https://recruiting.ultipro.ca/MAT5002MARX/JobBoard/69a03e48-0d5a-46df-9cba-fbcc2c7a9dbc/OpportunityDetail?opportunityId=2dc61798-9c1d-4642-a02f-258a2099fdc9" TargetMode="External"/><Relationship Id="rId255" Type="http://schemas.openxmlformats.org/officeDocument/2006/relationships/hyperlink" Target="https://careers.ibm.com/fr_CA/careers/JobDetail?jobId=131081&amp;source=WEB_Search_NA" TargetMode="External"/><Relationship Id="rId297" Type="http://schemas.openxmlformats.org/officeDocument/2006/relationships/hyperlink" Target="https://jobs.smartrecruiters.com/oneclick-ui/company/GDMSI/publication/82f7ee5c-9a64-4866-82e9-2c07454c40a2?dcr_ci=GDMSI&amp;vq_campaign=a40db081-82ea-557f-b2e0-c85200a6e919&amp;vq_source=54851605-81a3-4507-a744-1b28be5be283&amp;igbTracker=962609218&amp;utm_source=mcgilluniversity" TargetMode="External"/><Relationship Id="rId462" Type="http://schemas.openxmlformats.org/officeDocument/2006/relationships/hyperlink" Target="https://emploi.hydroquebec.com/job/Stage-universitaire-Robotique-et-syst%C3%A8mes-automatis%C3%A9s-%28profil-multidisciplinaire%29-Hiver-2027/188654-fr_FR" TargetMode="External"/><Relationship Id="rId115" Type="http://schemas.openxmlformats.org/officeDocument/2006/relationships/hyperlink" Target="https://giro.wd10.myworkdayjobs.com/en-US/GIRO/details/Hiver-2027---Stagiaire-en-dveloppement-web--Front-end_R-100000317" TargetMode="External"/><Relationship Id="rId157" Type="http://schemas.openxmlformats.org/officeDocument/2006/relationships/hyperlink" Target="https://careers.ibm.com/fr_CA/careers/JobDetail?jobId=129910&amp;source=WEB_Search_NA" TargetMode="External"/><Relationship Id="rId322" Type="http://schemas.openxmlformats.org/officeDocument/2006/relationships/hyperlink" Target="https://jobs.dayforcehcm.com/en-US/mydayforce/InternshipsandCoops/jobs/102395" TargetMode="External"/><Relationship Id="rId364" Type="http://schemas.openxmlformats.org/officeDocument/2006/relationships/hyperlink" Target="https://workforcenow.adp.com/mascsr/default/mdf/recruitment/recruitment.html?cid=6008c003-f9a4-47a3-8573-a3b0d594bcba&amp;ccId=9200645568272_2&amp;jobId=577398&amp;lang=fr_CA" TargetMode="External"/><Relationship Id="rId61" Type="http://schemas.openxmlformats.org/officeDocument/2006/relationships/hyperlink" Target="https://www.linkedin.com/jobs/search-results/?currentJobId=4460643431&amp;eBP=CwEAAAGgg51nveDyhohUQfW-YPoK-CXMiGGXlEWwobJJaUSVxc_bdpnXcwGC_Vhn1ossNrOrGMOdJZXPmKUh05-mQWSflP2b9jZ3rdf68JcO2IkvUOjk576Xewq-JP3vLHCaR4792KhJPPeXsx8d-9tFDNYLYT1x-JWWPDbx-nRCskxiBbuuE-sA48OtVeIGjcGsiu_D22y5d0PAn79CzpsfIfMy7wg0w1obu8UEpGxLp1I_NZkUz1AS-xMyN4DxyP-4-MTtOxmThcNSInVXGin577aNsbOgUvecYS-dIL62QsvwYEABSaYzZviGH_ySjzBSJUBPICUTkRUasKKixxosbFsw01l3Mr74tr3w_Y59TEPHMjWqXUhdJWdkIeJJdDJXzrLiG72POHVMsH5KPeVZppOHjBHilcthFMvK3b882x0YdVMoObcSgXCHxuY31Ty3xfNzCRzuhp-cJdfl7xRHmXwPZwWvTCfHLskV_2XGVw&amp;refId=KGaBqmUfqtwbontFfBXpZw%3D%3D&amp;trackingId=F07c%2F5NEu8n5%2BAbDfPRmYA%3D%3D&amp;keywords=freshman%20intern%20software%20engineering&amp;origin=SEMANTIC_SEARCH_LANDING_PAGE" TargetMode="External"/><Relationship Id="rId199" Type="http://schemas.openxmlformats.org/officeDocument/2006/relationships/hyperlink" Target="https://careers.ibm.com/fr_CA/careers/JobDetail?jobId=129781&amp;source=WEB_Search_NA" TargetMode="External"/><Relationship Id="rId19" Type="http://schemas.openxmlformats.org/officeDocument/2006/relationships/hyperlink" Target="https://www.linkedin.com/jobs/search-results/?currentJobId=4460253637&amp;eBP=CwEAAAGgg5pSwNxwSnIdLFNnSYsKjQKqgUZUU5NAmXTpT_Ja-mFaOa9cggR_zIXW6aWvL2-lguYmUIKG8f7rlbD_lMrTMOGSqEFs-oO1kmi77nZcjpgPSb4hcXi2sT0psZho_8UucYFImL7tYliJtrYZ300E5XuHURJj6pldgOYTiA9X0R8Qy9AowxbINAs6Xcxm8gwaRyejZ2TDB4y5AZQxraDrepem57HZeucVaZDHaQHLZZVV_OpX0ckda8p6hdTUZKFxpcwRpPl35G9HyGc4zn7eUxkUEuNfKYSurm--zIx0scMSZpDF9X9_hsc30mJ-hFiF1uacPKAnZyifHPSdK4V4G5yk56imA-dT_VP9GqZp7DiHcSkUaoCbW8cjaxZplje68JRl_ixsIh_Ms2R2lpZ2XnKs-Y7Nqr1iiKOo20seK7q5X6xP3nnV9HApTbk0x-3J9mqIIT-REBuU6ELugyEZjacXm1FxQGyCXw&amp;refId=ipIvV5qEyvihhAd%2F1eFFow%3D%3D&amp;trackingId=d1uTE0mmx82dEXKmQxqpuQ%3D%3D&amp;showHowYouFit=HOW_YOU_FIT&amp;keywords=stage%20en%20d%C3%A9veloppement%20logiciel&amp;origin=QUALIFICATION_LANDING&amp;geoId=90009543" TargetMode="External"/><Relationship Id="rId224" Type="http://schemas.openxmlformats.org/officeDocument/2006/relationships/hyperlink" Target="https://careers.ibm.com/fr_CA/careers/JobDetail?jobId=128775&amp;source=WEB_Search_NA" TargetMode="External"/><Relationship Id="rId266" Type="http://schemas.openxmlformats.org/officeDocument/2006/relationships/hyperlink" Target="https://intactfc.wd3.myworkdayjobs.com/intactfc/job/St-Johns-Newfoundland-and-Labrador-CAN/Software-Developer-I---4-months-internship--Co-op--Winter-2027-_R155972/apply?source=GoogleAdWordsCampaign&amp;utm_medium=cpc&amp;utm_campaign=IT-DataScience" TargetMode="External"/><Relationship Id="rId431" Type="http://schemas.openxmlformats.org/officeDocument/2006/relationships/hyperlink" Target="https://cgi.njoyn.com/CORP/xweb/xweb.asp?NTKN=c&amp;clid=21001&amp;Page=JobDetails&amp;Jobid=J0926-0904&amp;BRID=1338184&amp;lang=1" TargetMode="External"/><Relationship Id="rId473" Type="http://schemas.openxmlformats.org/officeDocument/2006/relationships/hyperlink" Target="https://emploi.hydroquebec.com/job/Stage-universitaire-Optimisation-et-mod%C3%A9lisation-%C3%A9nerg%C3%A9tique-Hiver-2027/188874-fr_FR" TargetMode="External"/><Relationship Id="rId30" Type="http://schemas.openxmlformats.org/officeDocument/2006/relationships/hyperlink" Target="https://www.linkedin.com/jobs/view/4447254461/?trackingId=314fWdfrTKoJfZQT4MlZsw%3D%3D&amp;refId=KGaBqmUfqtwbontFfBXpZw%3D%3D&amp;eBP=NOT_ELIGIBLE_FOR_CHARGING&amp;alternateChannel=search&amp;isJobSearch=false" TargetMode="External"/><Relationship Id="rId126" Type="http://schemas.openxmlformats.org/officeDocument/2006/relationships/hyperlink" Target="https://www.epicgames.com/site/careers/jobs/6141180004" TargetMode="External"/><Relationship Id="rId168" Type="http://schemas.openxmlformats.org/officeDocument/2006/relationships/hyperlink" Target="https://careers.ibm.com/fr_CA/careers/JobDetail?jobId=130115&amp;source=WEB_Search_NA" TargetMode="External"/><Relationship Id="rId333" Type="http://schemas.openxmlformats.org/officeDocument/2006/relationships/hyperlink" Target="https://careers.qualcomm.com/careers/job/446721141411" TargetMode="External"/><Relationship Id="rId72" Type="http://schemas.openxmlformats.org/officeDocument/2006/relationships/hyperlink" Target="https://www.linkedin.com/jobs/view/4429382631/?trackingId=qr1x8G1tKCZ9apLIMUHYRA%3D%3D&amp;refId=c%2Fg0DEk%2BjRgXcGAgk%2FOiSw%3D%3D&amp;eBP=NOT_ELIGIBLE_FOR_CHARGING&amp;alternateChannel=search&amp;isJobSearch=false" TargetMode="External"/><Relationship Id="rId375" Type="http://schemas.openxmlformats.org/officeDocument/2006/relationships/hyperlink" Target="https://emploi.hydroquebec.com/job/Stage-universitaire-Technologies-num%C3%A9riques-D%C3%A9veloppement-Hiver-2027/189043-fr_FR" TargetMode="External"/><Relationship Id="rId3" Type="http://schemas.openxmlformats.org/officeDocument/2006/relationships/hyperlink" Target="https://emplois.carrieres.gouv.qc.ca/plateforme-emploi/libre-service/offres-emploi/poste/22163" TargetMode="External"/><Relationship Id="rId235" Type="http://schemas.openxmlformats.org/officeDocument/2006/relationships/hyperlink" Target="https://careers.ibm.com/fr_CA/careers/JobDetail?jobId=128527&amp;source=WEB_Search_NA" TargetMode="External"/><Relationship Id="rId277" Type="http://schemas.openxmlformats.org/officeDocument/2006/relationships/hyperlink" Target="https://careerscoopinternen-fgfbrands.icims.com/jobs/26848/ai-solutions-engineer-co-op-%28winter-2027%29/job" TargetMode="External"/><Relationship Id="rId400" Type="http://schemas.openxmlformats.org/officeDocument/2006/relationships/hyperlink" Target="https://avantageplus.recruitee.com/o/candidature-spontanee-2-3/c/new" TargetMode="External"/><Relationship Id="rId442" Type="http://schemas.openxmlformats.org/officeDocument/2006/relationships/hyperlink" Target="https://cgi.njoyn.com/CORP/xweb/xweb.asp?NTKN=c&amp;clid=21001&amp;Page=JobDetails&amp;Jobid=J0826-2173&amp;BRID=1330253&amp;lang=1" TargetMode="External"/><Relationship Id="rId484" Type="http://schemas.openxmlformats.org/officeDocument/2006/relationships/hyperlink" Target="https://emploi.hydroquebec.com/job/Stage-universitaire-Gestion-des-op%C3%A9rations-Hiver-2027/188317-fr_FR" TargetMode="External"/><Relationship Id="rId137" Type="http://schemas.openxmlformats.org/officeDocument/2006/relationships/hyperlink" Target="https://morganstanley.tal.net/vx/candidate/so/pm/1/pl/1/opp/20943" TargetMode="External"/><Relationship Id="rId302" Type="http://schemas.openxmlformats.org/officeDocument/2006/relationships/hyperlink" Target="https://jobs.smartrecruiters.com/oneclick-ui/company/GDMSI/publication/c4644a08-4662-4243-ac62-5964451b0cd5?dcr_ci=GDMSI&amp;vq_campaign=44b4bfbc-a1fa-5e84-b5f0-3ef158d42aaa&amp;vq_source=54851605-81a3-4507-a744-1b28be5be283&amp;igbTracker=962609283&amp;utm_source=mcgilluniversity" TargetMode="External"/><Relationship Id="rId344" Type="http://schemas.openxmlformats.org/officeDocument/2006/relationships/hyperlink" Target="https://careers.qualcomm.com/careers/job/446721143274" TargetMode="External"/><Relationship Id="rId41" Type="http://schemas.openxmlformats.org/officeDocument/2006/relationships/hyperlink" Target="https://www.linkedin.com/company/grassvalley/life/" TargetMode="External"/><Relationship Id="rId83" Type="http://schemas.openxmlformats.org/officeDocument/2006/relationships/hyperlink" Target="https://www.linkedin.com/company/flexspring/life/" TargetMode="External"/><Relationship Id="rId179" Type="http://schemas.openxmlformats.org/officeDocument/2006/relationships/hyperlink" Target="https://careers.ibm.com/fr_CA/careers/JobDetail?jobId=130113&amp;source=WEB_Search_NA" TargetMode="External"/><Relationship Id="rId386" Type="http://schemas.openxmlformats.org/officeDocument/2006/relationships/hyperlink" Target="https://emploi.hydroquebec.com/job/Stage-universitaire-Gestion-de-projets-Hiver-2027/188849-fr_FR" TargetMode="External"/><Relationship Id="rId190" Type="http://schemas.openxmlformats.org/officeDocument/2006/relationships/hyperlink" Target="https://careers.ibm.com/fr_CA/careers/JobDetail?jobId=128790&amp;source=WEB_Search_NA" TargetMode="External"/><Relationship Id="rId204" Type="http://schemas.openxmlformats.org/officeDocument/2006/relationships/hyperlink" Target="https://careers.ibm.com/fr_CA/careers/JobDetail?jobId=128620&amp;source=WEB_Search_NA" TargetMode="External"/><Relationship Id="rId246" Type="http://schemas.openxmlformats.org/officeDocument/2006/relationships/hyperlink" Target="https://careers.ibm.com/fr_CA/careers/JobDetail?jobId=129637&amp;source=WEB_Search_NA" TargetMode="External"/><Relationship Id="rId288" Type="http://schemas.openxmlformats.org/officeDocument/2006/relationships/hyperlink" Target="https://emploi.hydroquebec.com/content/Stages-et-programmes/?locale=fr_FR" TargetMode="External"/><Relationship Id="rId411" Type="http://schemas.openxmlformats.org/officeDocument/2006/relationships/hyperlink" Target="https://lumentum.wd5.myworkdayjobs.com/en-US/LITE/details/Embedded-Software-DevSecOps-Engineer--Co-op-Student-_20261355?workerSubType=01232ead616f01ef5e875b3e6310c01d&amp;workerSubType=01232ead616f01895fdd7a406310c91d" TargetMode="External"/><Relationship Id="rId453" Type="http://schemas.openxmlformats.org/officeDocument/2006/relationships/hyperlink" Target="https://career17.sapsf.com/portalcareer?_s.crb=BOFeYB0lJXzLlrwxTm71dqklHopkD61Qu8XjmkISPiQ%253d" TargetMode="External"/><Relationship Id="rId106" Type="http://schemas.openxmlformats.org/officeDocument/2006/relationships/hyperlink" Target="https://www.linkedin.com/company/yelp-com/life/" TargetMode="External"/><Relationship Id="rId313" Type="http://schemas.openxmlformats.org/officeDocument/2006/relationships/hyperlink" Target="https://intelcomgroup.wd3.myworkdayjobs.com/en-US/Intelcom/job/Site-Reliability-Engineering--SRE--Intern_JR111560" TargetMode="External"/><Relationship Id="rId495" Type="http://schemas.openxmlformats.org/officeDocument/2006/relationships/hyperlink" Target="https://emploi.hydroquebec.com/job/Stage-universitaire-g%C3%A9nie-informatique-Hiver-2027/188575-fr_F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jobs.nokia.com/en/sites/CX_1/jobs?lastSelectedFacet=LOCATIONS&amp;selectedFlexFieldsFacets=%22AttributeChar21%7CStudent+or+Intern+or+Trainee%3BGraduate+or+Entry+Level%22&amp;selectedLocationsFacet=300000000471544" TargetMode="External"/><Relationship Id="rId21" Type="http://schemas.openxmlformats.org/officeDocument/2006/relationships/hyperlink" Target="https://www.lightspeedhq.com/careers/" TargetMode="External"/><Relationship Id="rId42" Type="http://schemas.openxmlformats.org/officeDocument/2006/relationships/hyperlink" Target="https://bba.csod.com/ux/ats/careersite/4/requisition/2194/application?c=bba&amp;state=qc&amp;city=montreal_quebec+city&amp;lang=en-US&amp;axeptio_token=ew1uvTJuiYSa0pR7Sl16GQSxPA&amp;_gl=1*1381bqn*_gcl_au*MTM3MjE4ODQ0Ni4xNzkwODAwMzA0*_ga*MTY3MDA2MjUwNC4xNzkwODAwMzAx*_ga_X4MFQT1G0B*czE3OTA4MDAzMDAkbzEkZzEkdDE3OTA4MDAzMTgkajQ1JGwwJGgw&amp;jobboardid=0" TargetMode="External"/><Relationship Id="rId47" Type="http://schemas.openxmlformats.org/officeDocument/2006/relationships/hyperlink" Target="https://vizi.vizirecruiter.com/FGF-2840/index.html" TargetMode="External"/><Relationship Id="rId63" Type="http://schemas.openxmlformats.org/officeDocument/2006/relationships/hyperlink" Target="https://careers.cisco.com/global/en/home" TargetMode="External"/><Relationship Id="rId68" Type="http://schemas.openxmlformats.org/officeDocument/2006/relationships/hyperlink" Target="https://www.linkedin.com/company/cs-group-canada/jobs/" TargetMode="External"/><Relationship Id="rId16" Type="http://schemas.openxmlformats.org/officeDocument/2006/relationships/hyperlink" Target="https://hypertec.com/fr/carrieres" TargetMode="External"/><Relationship Id="rId11" Type="http://schemas.openxmlformats.org/officeDocument/2006/relationships/hyperlink" Target="https://flare.io/company/careers" TargetMode="External"/><Relationship Id="rId24" Type="http://schemas.openxmlformats.org/officeDocument/2006/relationships/hyperlink" Target="https://www.morganstanley.com/people" TargetMode="External"/><Relationship Id="rId32" Type="http://schemas.openxmlformats.org/officeDocument/2006/relationships/hyperlink" Target="https://jobs.sap.com/go/Technology-Jobs-in-Montreal/855401/" TargetMode="External"/><Relationship Id="rId37" Type="http://schemas.openxmlformats.org/officeDocument/2006/relationships/hyperlink" Target="https://unity.com/careers" TargetMode="External"/><Relationship Id="rId40" Type="http://schemas.openxmlformats.org/officeDocument/2006/relationships/hyperlink" Target="https://www.wealthsimple.com/en-ca/careers" TargetMode="External"/><Relationship Id="rId45" Type="http://schemas.openxmlformats.org/officeDocument/2006/relationships/hyperlink" Target="https://www.drw.com/work-at-drw/listings?filterType=keyword&amp;value=software" TargetMode="External"/><Relationship Id="rId53" Type="http://schemas.openxmlformats.org/officeDocument/2006/relationships/hyperlink" Target="https://lumentum.wd5.myworkdayjobs.com/LITE" TargetMode="External"/><Relationship Id="rId58" Type="http://schemas.openxmlformats.org/officeDocument/2006/relationships/hyperlink" Target="https://altencanada.com/carriere/" TargetMode="External"/><Relationship Id="rId66" Type="http://schemas.openxmlformats.org/officeDocument/2006/relationships/hyperlink" Target="https://mthree.com/careers/" TargetMode="External"/><Relationship Id="rId74" Type="http://schemas.openxmlformats.org/officeDocument/2006/relationships/hyperlink" Target="https://careers.sita.aero/jobs?keywords=internship&amp;sortBy=relevance&amp;page=1" TargetMode="External"/><Relationship Id="rId5" Type="http://schemas.openxmlformats.org/officeDocument/2006/relationships/hyperlink" Target="https://beenox.com/en/careers/" TargetMode="External"/><Relationship Id="rId61" Type="http://schemas.openxmlformats.org/officeDocument/2006/relationships/hyperlink" Target="https://www.canada.ca/en/security-intelligence-service/corporate/csis-jobs/available-jobs.html" TargetMode="External"/><Relationship Id="rId19" Type="http://schemas.openxmlformats.org/officeDocument/2006/relationships/hyperlink" Target="https://www.indieasylum.com/emplois" TargetMode="External"/><Relationship Id="rId14" Type="http://schemas.openxmlformats.org/officeDocument/2006/relationships/hyperlink" Target="https://www.google.com/about/careers/applications/" TargetMode="External"/><Relationship Id="rId22" Type="http://schemas.openxmlformats.org/officeDocument/2006/relationships/hyperlink" Target="https://careers.microsoft.com/v2/global/en/home.html" TargetMode="External"/><Relationship Id="rId27" Type="http://schemas.openxmlformats.org/officeDocument/2006/relationships/hyperlink" Target="https://www.nvidia.com/en-eu/about-nvidia/careers/" TargetMode="External"/><Relationship Id="rId30" Type="http://schemas.openxmlformats.org/officeDocument/2006/relationships/hyperlink" Target="https://www.questrade.com/about-us/careers" TargetMode="External"/><Relationship Id="rId35" Type="http://schemas.openxmlformats.org/officeDocument/2006/relationships/hyperlink" Target="https://swiftconnect.com/" TargetMode="External"/><Relationship Id="rId43" Type="http://schemas.openxmlformats.org/officeDocument/2006/relationships/hyperlink" Target="https://www.camfil.com/en-ca/about-us/careers/job-opportunities" TargetMode="External"/><Relationship Id="rId48" Type="http://schemas.openxmlformats.org/officeDocument/2006/relationships/hyperlink" Target="https://giro.wd10.myworkdayjobs.com/en-US/GIRO?workerSubType=0b4337b20748100907a26e67d0c60000" TargetMode="External"/><Relationship Id="rId56" Type="http://schemas.openxmlformats.org/officeDocument/2006/relationships/hyperlink" Target="https://orthogone.com/new-grads-interns/" TargetMode="External"/><Relationship Id="rId64" Type="http://schemas.openxmlformats.org/officeDocument/2006/relationships/hyperlink" Target="https://jobs.citi.com/early-career-programs" TargetMode="External"/><Relationship Id="rId69" Type="http://schemas.openxmlformats.org/officeDocument/2006/relationships/hyperlink" Target="https://jobs.hatch.com/search/?createNewAlert=false&amp;q=software+intern&amp;locationsearch=Montreal" TargetMode="External"/><Relationship Id="rId77" Type="http://schemas.openxmlformats.org/officeDocument/2006/relationships/hyperlink" Target="https://ibegin.tcsapps.com/candidate/next/en-CA/jobs/search?page=1&amp;size=10&amp;regular=true&amp;walkin=true&amp;locations=Montreal%2C+PQ&amp;experiences=entry_level&amp;sort=relevance+desc&amp;h=a6705168eedba378972d68d2db38019b8d051b9f57ef29ffb06eb3bd02f4c01adfbb4869ee4241d96acf121312b0237d1be7def977c556fa3d41d36f0f73a605" TargetMode="External"/><Relationship Id="rId8" Type="http://schemas.openxmlformats.org/officeDocument/2006/relationships/hyperlink" Target="https://enterpriseplatform.dell.com/hcmUI/CandidateExperience/en/sites/careers/pages/internships" TargetMode="External"/><Relationship Id="rId51" Type="http://schemas.openxmlformats.org/officeDocument/2006/relationships/hyperlink" Target="https://keyencecanadainc.recruitee.com/" TargetMode="External"/><Relationship Id="rId72" Type="http://schemas.openxmlformats.org/officeDocument/2006/relationships/hyperlink" Target="https://www.revolut.com/en-US/careers/?team=Engineering" TargetMode="External"/><Relationship Id="rId3" Type="http://schemas.openxmlformats.org/officeDocument/2006/relationships/hyperlink" Target="https://www.appdirect.com/careers/index.html" TargetMode="External"/><Relationship Id="rId12" Type="http://schemas.openxmlformats.org/officeDocument/2006/relationships/hyperlink" Target="https://giro.wd10.myworkdayjobs.com/en-US/GIRO" TargetMode="External"/><Relationship Id="rId17" Type="http://schemas.openxmlformats.org/officeDocument/2006/relationships/hyperlink" Target="https://www.hopper.com/careers/" TargetMode="External"/><Relationship Id="rId25" Type="http://schemas.openxmlformats.org/officeDocument/2006/relationships/hyperlink" Target="https://www.ea.com/ea-studios/motive/careers" TargetMode="External"/><Relationship Id="rId33" Type="http://schemas.openxmlformats.org/officeDocument/2006/relationships/hyperlink" Target="https://www.shopify.com/careers" TargetMode="External"/><Relationship Id="rId38" Type="http://schemas.openxmlformats.org/officeDocument/2006/relationships/hyperlink" Target="https://voldex.com/careers/" TargetMode="External"/><Relationship Id="rId46" Type="http://schemas.openxmlformats.org/officeDocument/2006/relationships/hyperlink" Target="https://www.famictech.com/en/Company/Careers/Internships" TargetMode="External"/><Relationship Id="rId59" Type="http://schemas.openxmlformats.org/officeDocument/2006/relationships/hyperlink" Target="https://brimfinancial.com/careers" TargetMode="External"/><Relationship Id="rId67" Type="http://schemas.openxmlformats.org/officeDocument/2006/relationships/hyperlink" Target="https://www.laurentide.com/fr-ca/carrieres/etudiant-e-s-stages-et-debut-de-carriere/" TargetMode="External"/><Relationship Id="rId20" Type="http://schemas.openxmlformats.org/officeDocument/2006/relationships/hyperlink" Target="https://inlibro.com/en/" TargetMode="External"/><Relationship Id="rId41" Type="http://schemas.openxmlformats.org/officeDocument/2006/relationships/hyperlink" Target="https://avantageplus.recruitee.com/o/candidature-spontanee-2-3/c/new" TargetMode="External"/><Relationship Id="rId54" Type="http://schemas.openxmlformats.org/officeDocument/2006/relationships/hyperlink" Target="https://video.matrox.com/en/company/careers/" TargetMode="External"/><Relationship Id="rId62" Type="http://schemas.openxmlformats.org/officeDocument/2006/relationships/hyperlink" Target="https://www.cgi.com/canada/en-ca/careers" TargetMode="External"/><Relationship Id="rId70" Type="http://schemas.openxmlformats.org/officeDocument/2006/relationships/hyperlink" Target="https://emploi.hydroquebec.com/go/Tous-les-emplois/2665017/?markerViewed=&amp;carouselIndex=&amp;facetFilters=%7B%22filter6%22%3A%5B%22Emplois+pour+les+%C3%A9tudiants+et+%C3%A9tudiantes%22%5D%7D&amp;pageNumber=0" TargetMode="External"/><Relationship Id="rId75" Type="http://schemas.openxmlformats.org/officeDocument/2006/relationships/hyperlink" Target="https://careers.slb.com/job-listing" TargetMode="External"/><Relationship Id="rId1" Type="http://schemas.openxmlformats.org/officeDocument/2006/relationships/hyperlink" Target="https://www.accenture.com/ca-en/careers" TargetMode="External"/><Relationship Id="rId6" Type="http://schemas.openxmlformats.org/officeDocument/2006/relationships/hyperlink" Target="https://www.bhvr.com/montreal/" TargetMode="External"/><Relationship Id="rId15" Type="http://schemas.openxmlformats.org/officeDocument/2006/relationships/hyperlink" Target="https://emplois.carrieres.gouv.qc.ca/plateforme-emploi" TargetMode="External"/><Relationship Id="rId23" Type="http://schemas.openxmlformats.org/officeDocument/2006/relationships/hyperlink" Target="https://www.minecraft.net/en-us/mojang-careers" TargetMode="External"/><Relationship Id="rId28" Type="http://schemas.openxmlformats.org/officeDocument/2006/relationships/hyperlink" Target="https://www.linkedin.com/company/octasic/" TargetMode="External"/><Relationship Id="rId36" Type="http://schemas.openxmlformats.org/officeDocument/2006/relationships/hyperlink" Target="https://toronto.ubisoft.com/jobs/" TargetMode="External"/><Relationship Id="rId49" Type="http://schemas.openxmlformats.org/officeDocument/2006/relationships/hyperlink" Target="https://careers.hpe.com/us/en/c/engineering-qa-jobs" TargetMode="External"/><Relationship Id="rId57" Type="http://schemas.openxmlformats.org/officeDocument/2006/relationships/hyperlink" Target="https://www.weidmuller.ca/en/company/our_company/careers/index.jsp" TargetMode="External"/><Relationship Id="rId10" Type="http://schemas.openxmlformats.org/officeDocument/2006/relationships/hyperlink" Target="https://www.ea.com/en-ca/careers/locations" TargetMode="External"/><Relationship Id="rId31" Type="http://schemas.openxmlformats.org/officeDocument/2006/relationships/hyperlink" Target="https://www.rogue-research.com/careers/" TargetMode="External"/><Relationship Id="rId44" Type="http://schemas.openxmlformats.org/officeDocument/2006/relationships/hyperlink" Target="https://www.cattron.com/careers/" TargetMode="External"/><Relationship Id="rId52" Type="http://schemas.openxmlformats.org/officeDocument/2006/relationships/hyperlink" Target="https://lidd.com/about-us/careers/" TargetMode="External"/><Relationship Id="rId60" Type="http://schemas.openxmlformats.org/officeDocument/2006/relationships/hyperlink" Target="https://www.linkedin.com/company/canada-rail?originalSubdomain=ca" TargetMode="External"/><Relationship Id="rId65" Type="http://schemas.openxmlformats.org/officeDocument/2006/relationships/hyperlink" Target="https://www.coeur.com/careers/early-career-opportunities/default.aspx" TargetMode="External"/><Relationship Id="rId73" Type="http://schemas.openxmlformats.org/officeDocument/2006/relationships/hyperlink" Target="https://jobs.riotinto.com/" TargetMode="External"/><Relationship Id="rId78" Type="http://schemas.openxmlformats.org/officeDocument/2006/relationships/table" Target="../tables/table3.xml"/><Relationship Id="rId4" Type="http://schemas.openxmlformats.org/officeDocument/2006/relationships/hyperlink" Target="https://www.autodesk.com/careers/overview" TargetMode="External"/><Relationship Id="rId9" Type="http://schemas.openxmlformats.org/officeDocument/2006/relationships/hyperlink" Target="https://www.eidosmontreal.com/careers/" TargetMode="External"/><Relationship Id="rId13" Type="http://schemas.openxmlformats.org/officeDocument/2006/relationships/hyperlink" Target="https://careers.godaddy/jobs/search" TargetMode="External"/><Relationship Id="rId18" Type="http://schemas.openxmlformats.org/officeDocument/2006/relationships/hyperlink" Target="https://www.huwiz.com/careers/" TargetMode="External"/><Relationship Id="rId39" Type="http://schemas.openxmlformats.org/officeDocument/2006/relationships/hyperlink" Target="https://www.vortex-intl.com/careers/" TargetMode="External"/><Relationship Id="rId34" Type="http://schemas.openxmlformats.org/officeDocument/2006/relationships/hyperlink" Target="https://block.xyz/careers/jobs?" TargetMode="External"/><Relationship Id="rId50" Type="http://schemas.openxmlformats.org/officeDocument/2006/relationships/hyperlink" Target="https://ipconsul.com/en/about/career/" TargetMode="External"/><Relationship Id="rId55" Type="http://schemas.openxmlformats.org/officeDocument/2006/relationships/hyperlink" Target="https://www.opal-rt.com/careers/?_gl=1*6gbuon*_up*MQ..*_ga*MTMxMDMzMTE5NC4xNzkwODAzMTQ1*_ga_406WNJVN3H*czE3OTA4MDMxNDUkbzEkZzAkdDE3OTA4MDMxNDUkajYwJGwwJGgw*_ga_7479WHEKG9*czE3OTA4MDMxNDUkbzEkZzAkdDE3OTA4MDMxNDUkajYwJGwwJGgw" TargetMode="External"/><Relationship Id="rId76" Type="http://schemas.openxmlformats.org/officeDocument/2006/relationships/hyperlink" Target="https://sig.com/careers/interns-co-ops/" TargetMode="External"/><Relationship Id="rId7" Type="http://schemas.openxmlformats.org/officeDocument/2006/relationships/hyperlink" Target="https://www.coveo.com/en/company/careers/" TargetMode="External"/><Relationship Id="rId71" Type="http://schemas.openxmlformats.org/officeDocument/2006/relationships/hyperlink" Target="https://jestais.com/careers/" TargetMode="External"/><Relationship Id="rId2" Type="http://schemas.openxmlformats.org/officeDocument/2006/relationships/hyperlink" Target="https://www.amazon.jobs/content/en/career-programs/university/internships-for-students" TargetMode="External"/><Relationship Id="rId29" Type="http://schemas.openxmlformats.org/officeDocument/2006/relationships/hyperlink" Target="https://careers.oracle.com/en/sites/jobsearch/jobs?lastSelectedFacet=locations&amp;selectedLocationsFacet=3000000001067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8"/>
  <sheetViews>
    <sheetView zoomScale="67" zoomScaleNormal="79" workbookViewId="0">
      <selection activeCell="I4" sqref="I4"/>
    </sheetView>
  </sheetViews>
  <sheetFormatPr baseColWidth="10" defaultColWidth="9" defaultRowHeight="14.25" x14ac:dyDescent="0.45"/>
  <cols>
    <col min="1" max="1" width="11.86328125" customWidth="1"/>
    <col min="2" max="2" width="14.9296875" customWidth="1"/>
    <col min="3" max="3" width="42.6640625" customWidth="1"/>
    <col min="4" max="4" width="24.33203125" customWidth="1"/>
    <col min="5" max="5" width="16.6640625" customWidth="1"/>
    <col min="6" max="6" width="25" style="2" customWidth="1"/>
    <col min="7" max="7" width="31.59765625" customWidth="1"/>
    <col min="8" max="8" width="28.86328125" customWidth="1"/>
    <col min="9" max="9" width="17.33203125" customWidth="1"/>
    <col min="11" max="11" width="23.796875" customWidth="1"/>
  </cols>
  <sheetData>
    <row r="1" spans="1:12" ht="14.65" customHeight="1" thickBot="1" x14ac:dyDescent="0.5">
      <c r="A1" s="1"/>
    </row>
    <row r="2" spans="1:12" x14ac:dyDescent="0.45">
      <c r="D2" s="9" t="s">
        <v>0</v>
      </c>
      <c r="E2" s="10" t="s">
        <v>1</v>
      </c>
      <c r="F2" s="21" t="s">
        <v>2</v>
      </c>
      <c r="G2" s="11" t="s">
        <v>3</v>
      </c>
      <c r="H2" s="12" t="s">
        <v>4</v>
      </c>
      <c r="I2" s="13" t="s">
        <v>5</v>
      </c>
      <c r="J2" s="29" t="s">
        <v>6</v>
      </c>
      <c r="K2" s="30"/>
    </row>
    <row r="3" spans="1:12" ht="106.5" customHeight="1" thickBot="1" x14ac:dyDescent="0.5">
      <c r="D3" s="14">
        <f>SUM(E3:K3)</f>
        <v>643</v>
      </c>
      <c r="E3" s="15">
        <f>COUNTIF('Job applications 2026-2027'!A:A, "Unavailable")+COUNTIF('Automated Jobs 2026-2027'!A:A, "Unavailable")</f>
        <v>52</v>
      </c>
      <c r="F3" s="23">
        <f>COUNTIF('Job applications 2026-2027'!A:A, "Not applied")+COUNTIF('Automated Jobs 2026-2027'!A:A, "Not applied")</f>
        <v>343</v>
      </c>
      <c r="G3" s="7">
        <f>COUNTIF('Job applications 2026-2027'!A:A, "Applied")+COUNTIF('Automated Jobs 2026-2027'!A:A, "Applied")</f>
        <v>239</v>
      </c>
      <c r="H3" s="5">
        <f>COUNTIF('Job applications 2026-2027'!A:A, "Received Offer")+COUNTIF('Automated Jobs 2026-2027'!A:A, "Received Offer")</f>
        <v>0</v>
      </c>
      <c r="I3" s="6">
        <f>COUNTIF('Job applications 2026-2027'!A:A, "Refused")+COUNTIF('Automated Jobs 2026-2027'!A:A, "Refused")</f>
        <v>9</v>
      </c>
      <c r="J3" s="27">
        <f>COUNTIF(A:A, "Ghosted")</f>
        <v>0</v>
      </c>
      <c r="K3" s="28"/>
    </row>
    <row r="5" spans="1:12" x14ac:dyDescent="0.45">
      <c r="A5" s="17" t="s">
        <v>7</v>
      </c>
      <c r="B5" s="17" t="s">
        <v>8</v>
      </c>
      <c r="C5" s="17" t="s">
        <v>9</v>
      </c>
      <c r="D5" s="17" t="s">
        <v>10</v>
      </c>
      <c r="E5" s="17" t="s">
        <v>11</v>
      </c>
      <c r="F5" s="22" t="s">
        <v>12</v>
      </c>
      <c r="G5" s="17" t="s">
        <v>13</v>
      </c>
      <c r="H5" s="17" t="s">
        <v>14</v>
      </c>
      <c r="I5" s="17" t="s">
        <v>15</v>
      </c>
      <c r="J5" s="17" t="s">
        <v>16</v>
      </c>
      <c r="K5" s="17" t="s">
        <v>17</v>
      </c>
      <c r="L5" s="17" t="s">
        <v>18</v>
      </c>
    </row>
    <row r="6" spans="1:12" x14ac:dyDescent="0.45">
      <c r="A6" t="s">
        <v>19</v>
      </c>
      <c r="B6" t="s">
        <v>20</v>
      </c>
      <c r="C6" t="s">
        <v>21</v>
      </c>
      <c r="D6" t="s">
        <v>22</v>
      </c>
      <c r="E6" t="s">
        <v>23</v>
      </c>
      <c r="F6" s="2">
        <v>46301</v>
      </c>
      <c r="G6" s="2">
        <v>46258</v>
      </c>
      <c r="H6" s="2">
        <v>46259</v>
      </c>
      <c r="I6" t="s">
        <v>24</v>
      </c>
      <c r="J6" t="s">
        <v>25</v>
      </c>
      <c r="K6" t="s">
        <v>26</v>
      </c>
      <c r="L6" t="s">
        <v>27</v>
      </c>
    </row>
    <row r="7" spans="1:12" x14ac:dyDescent="0.45">
      <c r="A7" t="s">
        <v>19</v>
      </c>
      <c r="B7" t="s">
        <v>28</v>
      </c>
      <c r="C7" t="s">
        <v>29</v>
      </c>
      <c r="D7" t="s">
        <v>22</v>
      </c>
      <c r="E7" t="s">
        <v>23</v>
      </c>
      <c r="F7" s="2">
        <v>46301</v>
      </c>
      <c r="G7" s="2">
        <v>46268</v>
      </c>
      <c r="H7" s="2">
        <v>46268</v>
      </c>
      <c r="I7" t="s">
        <v>24</v>
      </c>
      <c r="J7" t="s">
        <v>30</v>
      </c>
      <c r="K7" t="s">
        <v>31</v>
      </c>
      <c r="L7" t="s">
        <v>27</v>
      </c>
    </row>
    <row r="8" spans="1:12" x14ac:dyDescent="0.45">
      <c r="A8" t="s">
        <v>19</v>
      </c>
      <c r="B8" t="s">
        <v>32</v>
      </c>
      <c r="C8" t="s">
        <v>33</v>
      </c>
      <c r="D8" t="s">
        <v>22</v>
      </c>
      <c r="E8" t="s">
        <v>23</v>
      </c>
      <c r="F8" s="2">
        <v>46301</v>
      </c>
      <c r="G8" s="2">
        <v>46273</v>
      </c>
      <c r="H8" s="2">
        <v>46273</v>
      </c>
      <c r="I8" s="4" t="s">
        <v>34</v>
      </c>
      <c r="J8" t="s">
        <v>35</v>
      </c>
      <c r="K8" t="s">
        <v>36</v>
      </c>
      <c r="L8" t="s">
        <v>37</v>
      </c>
    </row>
    <row r="9" spans="1:12" x14ac:dyDescent="0.45">
      <c r="A9" t="s">
        <v>19</v>
      </c>
      <c r="B9" t="s">
        <v>38</v>
      </c>
      <c r="C9" t="s">
        <v>39</v>
      </c>
      <c r="D9" t="s">
        <v>22</v>
      </c>
      <c r="E9" t="s">
        <v>23</v>
      </c>
      <c r="F9" s="2">
        <v>46301</v>
      </c>
      <c r="G9" s="2">
        <v>46273</v>
      </c>
      <c r="H9" s="2">
        <v>46275</v>
      </c>
      <c r="I9" s="4" t="s">
        <v>40</v>
      </c>
      <c r="J9" t="s">
        <v>35</v>
      </c>
      <c r="K9" t="s">
        <v>41</v>
      </c>
      <c r="L9" t="s">
        <v>37</v>
      </c>
    </row>
    <row r="10" spans="1:12" x14ac:dyDescent="0.45">
      <c r="A10" t="s">
        <v>19</v>
      </c>
      <c r="B10" t="s">
        <v>42</v>
      </c>
      <c r="C10" t="s">
        <v>43</v>
      </c>
      <c r="D10" t="s">
        <v>44</v>
      </c>
      <c r="E10" t="s">
        <v>45</v>
      </c>
      <c r="F10" s="2">
        <v>46301</v>
      </c>
      <c r="G10" s="2">
        <v>46274</v>
      </c>
      <c r="H10" s="2">
        <v>46276</v>
      </c>
      <c r="I10" t="s">
        <v>24</v>
      </c>
      <c r="J10" t="s">
        <v>35</v>
      </c>
      <c r="L10" t="s">
        <v>27</v>
      </c>
    </row>
    <row r="11" spans="1:12" x14ac:dyDescent="0.45">
      <c r="A11" t="s">
        <v>46</v>
      </c>
      <c r="B11" t="s">
        <v>47</v>
      </c>
      <c r="C11" t="s">
        <v>48</v>
      </c>
      <c r="D11" t="s">
        <v>22</v>
      </c>
      <c r="E11" t="s">
        <v>49</v>
      </c>
      <c r="F11" s="2">
        <v>46301</v>
      </c>
      <c r="G11" s="8"/>
      <c r="H11" s="2">
        <v>46276</v>
      </c>
      <c r="I11" s="4" t="s">
        <v>40</v>
      </c>
      <c r="J11" t="s">
        <v>25</v>
      </c>
      <c r="K11" t="s">
        <v>50</v>
      </c>
      <c r="L11" t="s">
        <v>51</v>
      </c>
    </row>
    <row r="12" spans="1:12" x14ac:dyDescent="0.45">
      <c r="A12" t="s">
        <v>46</v>
      </c>
      <c r="B12" t="s">
        <v>52</v>
      </c>
      <c r="C12" t="s">
        <v>53</v>
      </c>
      <c r="D12" t="s">
        <v>22</v>
      </c>
      <c r="E12" t="s">
        <v>54</v>
      </c>
      <c r="F12" s="2">
        <v>46301</v>
      </c>
      <c r="G12" s="8"/>
      <c r="H12" s="2">
        <v>46279</v>
      </c>
      <c r="I12" s="4" t="s">
        <v>40</v>
      </c>
      <c r="J12" t="s">
        <v>35</v>
      </c>
      <c r="K12" t="s">
        <v>50</v>
      </c>
      <c r="L12" t="s">
        <v>51</v>
      </c>
    </row>
    <row r="13" spans="1:12" x14ac:dyDescent="0.45">
      <c r="A13" t="s">
        <v>46</v>
      </c>
      <c r="B13" t="s">
        <v>55</v>
      </c>
      <c r="C13" t="s">
        <v>56</v>
      </c>
      <c r="D13" t="s">
        <v>57</v>
      </c>
      <c r="E13" t="s">
        <v>23</v>
      </c>
      <c r="F13" s="2">
        <v>46301</v>
      </c>
      <c r="G13" s="8"/>
      <c r="H13" s="2">
        <v>46283</v>
      </c>
      <c r="I13" t="s">
        <v>24</v>
      </c>
      <c r="J13" t="s">
        <v>25</v>
      </c>
      <c r="L13" t="s">
        <v>27</v>
      </c>
    </row>
    <row r="14" spans="1:12" x14ac:dyDescent="0.45">
      <c r="A14" t="s">
        <v>19</v>
      </c>
      <c r="B14" t="s">
        <v>58</v>
      </c>
      <c r="C14" t="s">
        <v>59</v>
      </c>
      <c r="D14" t="s">
        <v>22</v>
      </c>
      <c r="E14" t="s">
        <v>23</v>
      </c>
      <c r="F14" s="2">
        <v>46301</v>
      </c>
      <c r="G14" s="2">
        <v>46274</v>
      </c>
      <c r="H14" s="2">
        <v>46285</v>
      </c>
      <c r="I14" s="4" t="s">
        <v>40</v>
      </c>
      <c r="J14" t="s">
        <v>25</v>
      </c>
      <c r="K14" t="s">
        <v>50</v>
      </c>
      <c r="L14" t="s">
        <v>37</v>
      </c>
    </row>
    <row r="15" spans="1:12" x14ac:dyDescent="0.45">
      <c r="A15" t="s">
        <v>19</v>
      </c>
      <c r="B15" t="s">
        <v>58</v>
      </c>
      <c r="C15" t="s">
        <v>60</v>
      </c>
      <c r="D15" t="s">
        <v>22</v>
      </c>
      <c r="E15" t="s">
        <v>23</v>
      </c>
      <c r="F15" s="2">
        <v>46301</v>
      </c>
      <c r="G15" s="2">
        <v>46274</v>
      </c>
      <c r="H15" s="2">
        <v>46285</v>
      </c>
      <c r="I15" s="4" t="s">
        <v>40</v>
      </c>
      <c r="J15" t="s">
        <v>35</v>
      </c>
      <c r="K15" t="s">
        <v>50</v>
      </c>
      <c r="L15" t="s">
        <v>27</v>
      </c>
    </row>
    <row r="16" spans="1:12" x14ac:dyDescent="0.45">
      <c r="A16" t="s">
        <v>19</v>
      </c>
      <c r="B16" t="s">
        <v>61</v>
      </c>
      <c r="C16" t="s">
        <v>62</v>
      </c>
      <c r="D16" t="s">
        <v>57</v>
      </c>
      <c r="E16" t="s">
        <v>63</v>
      </c>
      <c r="F16" s="2">
        <v>46301</v>
      </c>
      <c r="G16" s="2">
        <v>46274</v>
      </c>
      <c r="H16" s="2">
        <v>46286</v>
      </c>
      <c r="I16" t="s">
        <v>64</v>
      </c>
      <c r="J16" t="s">
        <v>25</v>
      </c>
      <c r="L16" t="s">
        <v>27</v>
      </c>
    </row>
    <row r="17" spans="1:12" x14ac:dyDescent="0.45">
      <c r="A17" t="s">
        <v>19</v>
      </c>
      <c r="B17" t="s">
        <v>20</v>
      </c>
      <c r="C17" t="s">
        <v>65</v>
      </c>
      <c r="D17" t="s">
        <v>22</v>
      </c>
      <c r="E17" t="s">
        <v>23</v>
      </c>
      <c r="F17" s="2">
        <v>46301</v>
      </c>
      <c r="G17" s="2">
        <v>46259</v>
      </c>
      <c r="H17" s="2">
        <v>46295</v>
      </c>
      <c r="I17" t="s">
        <v>24</v>
      </c>
      <c r="J17" t="s">
        <v>25</v>
      </c>
      <c r="K17" t="s">
        <v>66</v>
      </c>
      <c r="L17" t="s">
        <v>27</v>
      </c>
    </row>
    <row r="18" spans="1:12" x14ac:dyDescent="0.45">
      <c r="A18" t="s">
        <v>19</v>
      </c>
      <c r="B18" t="s">
        <v>20</v>
      </c>
      <c r="C18" t="s">
        <v>67</v>
      </c>
      <c r="D18" t="s">
        <v>22</v>
      </c>
      <c r="E18" t="s">
        <v>23</v>
      </c>
      <c r="F18" s="2">
        <v>46301</v>
      </c>
      <c r="G18" s="2">
        <v>46259</v>
      </c>
      <c r="H18" s="2">
        <v>46295</v>
      </c>
      <c r="I18" t="s">
        <v>24</v>
      </c>
      <c r="J18" t="s">
        <v>25</v>
      </c>
      <c r="K18" t="s">
        <v>66</v>
      </c>
      <c r="L18" t="s">
        <v>27</v>
      </c>
    </row>
    <row r="19" spans="1:12" x14ac:dyDescent="0.45">
      <c r="A19" t="s">
        <v>19</v>
      </c>
      <c r="B19" t="s">
        <v>20</v>
      </c>
      <c r="C19" t="s">
        <v>68</v>
      </c>
      <c r="D19" t="s">
        <v>22</v>
      </c>
      <c r="E19" t="s">
        <v>23</v>
      </c>
      <c r="F19" s="2">
        <v>46301</v>
      </c>
      <c r="G19" s="2">
        <v>46259</v>
      </c>
      <c r="H19" s="2">
        <v>46295</v>
      </c>
      <c r="I19" t="s">
        <v>24</v>
      </c>
      <c r="J19" t="s">
        <v>25</v>
      </c>
      <c r="K19" t="s">
        <v>66</v>
      </c>
      <c r="L19" t="s">
        <v>27</v>
      </c>
    </row>
    <row r="20" spans="1:12" x14ac:dyDescent="0.45">
      <c r="A20" t="s">
        <v>19</v>
      </c>
      <c r="B20" t="s">
        <v>69</v>
      </c>
      <c r="C20" t="s">
        <v>70</v>
      </c>
      <c r="D20" t="s">
        <v>57</v>
      </c>
      <c r="E20" t="s">
        <v>23</v>
      </c>
      <c r="F20" s="2">
        <v>46301</v>
      </c>
      <c r="G20" s="2">
        <v>46274</v>
      </c>
      <c r="H20" s="2">
        <v>46295</v>
      </c>
      <c r="I20" t="s">
        <v>24</v>
      </c>
      <c r="J20" t="s">
        <v>25</v>
      </c>
      <c r="L20" t="s">
        <v>27</v>
      </c>
    </row>
    <row r="21" spans="1:12" x14ac:dyDescent="0.45">
      <c r="A21" t="s">
        <v>19</v>
      </c>
      <c r="B21" t="s">
        <v>71</v>
      </c>
      <c r="C21" t="s">
        <v>72</v>
      </c>
      <c r="D21" t="s">
        <v>57</v>
      </c>
      <c r="E21" t="s">
        <v>23</v>
      </c>
      <c r="F21" s="2">
        <v>46301</v>
      </c>
      <c r="G21" s="2">
        <v>46276</v>
      </c>
      <c r="H21" s="2">
        <v>46296</v>
      </c>
      <c r="I21" t="s">
        <v>73</v>
      </c>
      <c r="J21" t="s">
        <v>25</v>
      </c>
      <c r="K21" t="s">
        <v>74</v>
      </c>
      <c r="L21" t="s">
        <v>75</v>
      </c>
    </row>
    <row r="22" spans="1:12" x14ac:dyDescent="0.45">
      <c r="A22" t="s">
        <v>19</v>
      </c>
      <c r="B22" t="s">
        <v>76</v>
      </c>
      <c r="C22" t="s">
        <v>77</v>
      </c>
      <c r="D22" t="s">
        <v>22</v>
      </c>
      <c r="E22" t="s">
        <v>23</v>
      </c>
      <c r="F22" s="2">
        <v>46301</v>
      </c>
      <c r="G22" s="2">
        <v>46274</v>
      </c>
      <c r="H22" s="2">
        <v>46296</v>
      </c>
      <c r="I22" t="s">
        <v>24</v>
      </c>
      <c r="J22" t="s">
        <v>35</v>
      </c>
      <c r="K22" t="s">
        <v>78</v>
      </c>
      <c r="L22" t="s">
        <v>37</v>
      </c>
    </row>
    <row r="23" spans="1:12" x14ac:dyDescent="0.45">
      <c r="A23" t="s">
        <v>79</v>
      </c>
      <c r="B23" t="s">
        <v>80</v>
      </c>
      <c r="C23" t="s">
        <v>81</v>
      </c>
      <c r="D23" t="s">
        <v>44</v>
      </c>
      <c r="E23" t="s">
        <v>82</v>
      </c>
      <c r="F23" s="2">
        <v>46301</v>
      </c>
      <c r="G23" s="2"/>
      <c r="H23" s="2">
        <v>46311</v>
      </c>
      <c r="I23" t="s">
        <v>24</v>
      </c>
      <c r="J23" t="s">
        <v>25</v>
      </c>
      <c r="L23" t="s">
        <v>27</v>
      </c>
    </row>
    <row r="24" spans="1:12" x14ac:dyDescent="0.45">
      <c r="A24" t="s">
        <v>79</v>
      </c>
      <c r="B24" t="s">
        <v>80</v>
      </c>
      <c r="C24" t="s">
        <v>83</v>
      </c>
      <c r="D24" t="s">
        <v>44</v>
      </c>
      <c r="E24" t="s">
        <v>82</v>
      </c>
      <c r="F24" s="2">
        <v>46301</v>
      </c>
      <c r="G24" s="2"/>
      <c r="H24" s="2">
        <v>46311</v>
      </c>
      <c r="I24" t="s">
        <v>24</v>
      </c>
      <c r="J24" t="s">
        <v>25</v>
      </c>
      <c r="L24" t="s">
        <v>27</v>
      </c>
    </row>
    <row r="25" spans="1:12" x14ac:dyDescent="0.45">
      <c r="A25" t="s">
        <v>79</v>
      </c>
      <c r="B25" t="s">
        <v>80</v>
      </c>
      <c r="C25" t="s">
        <v>84</v>
      </c>
      <c r="D25" t="s">
        <v>44</v>
      </c>
      <c r="E25" t="s">
        <v>82</v>
      </c>
      <c r="F25" s="2">
        <v>46301</v>
      </c>
      <c r="G25" s="2"/>
      <c r="H25" s="2">
        <v>46311</v>
      </c>
      <c r="I25" t="s">
        <v>24</v>
      </c>
      <c r="J25" t="s">
        <v>25</v>
      </c>
      <c r="L25" t="s">
        <v>27</v>
      </c>
    </row>
    <row r="26" spans="1:12" x14ac:dyDescent="0.45">
      <c r="A26" t="s">
        <v>79</v>
      </c>
      <c r="B26" t="s">
        <v>80</v>
      </c>
      <c r="C26" t="s">
        <v>85</v>
      </c>
      <c r="D26" t="s">
        <v>44</v>
      </c>
      <c r="E26" t="s">
        <v>82</v>
      </c>
      <c r="F26" s="2">
        <v>46301</v>
      </c>
      <c r="G26" s="2"/>
      <c r="H26" s="2">
        <v>46311</v>
      </c>
      <c r="I26" t="s">
        <v>24</v>
      </c>
      <c r="J26" t="s">
        <v>25</v>
      </c>
      <c r="L26" t="s">
        <v>27</v>
      </c>
    </row>
    <row r="27" spans="1:12" x14ac:dyDescent="0.45">
      <c r="A27" t="s">
        <v>79</v>
      </c>
      <c r="B27" t="s">
        <v>80</v>
      </c>
      <c r="C27" t="s">
        <v>86</v>
      </c>
      <c r="D27" t="s">
        <v>44</v>
      </c>
      <c r="E27" t="s">
        <v>82</v>
      </c>
      <c r="F27" s="2">
        <v>46301</v>
      </c>
      <c r="G27" s="2"/>
      <c r="H27" s="2">
        <v>46311</v>
      </c>
      <c r="I27" t="s">
        <v>24</v>
      </c>
      <c r="J27" t="s">
        <v>25</v>
      </c>
      <c r="L27" t="s">
        <v>27</v>
      </c>
    </row>
    <row r="28" spans="1:12" x14ac:dyDescent="0.45">
      <c r="A28" t="s">
        <v>79</v>
      </c>
      <c r="B28" t="s">
        <v>80</v>
      </c>
      <c r="C28" t="s">
        <v>87</v>
      </c>
      <c r="D28" t="s">
        <v>44</v>
      </c>
      <c r="E28" t="s">
        <v>82</v>
      </c>
      <c r="F28" s="2">
        <v>46301</v>
      </c>
      <c r="G28" s="2"/>
      <c r="H28" s="2">
        <v>46311</v>
      </c>
      <c r="I28" t="s">
        <v>24</v>
      </c>
      <c r="J28" t="s">
        <v>25</v>
      </c>
      <c r="L28" t="s">
        <v>27</v>
      </c>
    </row>
    <row r="29" spans="1:12" x14ac:dyDescent="0.45">
      <c r="A29" t="s">
        <v>79</v>
      </c>
      <c r="B29" t="s">
        <v>80</v>
      </c>
      <c r="C29" t="s">
        <v>88</v>
      </c>
      <c r="D29" t="s">
        <v>44</v>
      </c>
      <c r="E29" t="s">
        <v>82</v>
      </c>
      <c r="F29" s="2">
        <v>46301</v>
      </c>
      <c r="G29" s="2"/>
      <c r="H29" s="2">
        <v>46311</v>
      </c>
      <c r="I29" t="s">
        <v>24</v>
      </c>
      <c r="J29" t="s">
        <v>25</v>
      </c>
      <c r="L29" t="s">
        <v>27</v>
      </c>
    </row>
    <row r="30" spans="1:12" x14ac:dyDescent="0.45">
      <c r="A30" t="s">
        <v>19</v>
      </c>
      <c r="B30" t="s">
        <v>89</v>
      </c>
      <c r="C30" t="s">
        <v>90</v>
      </c>
      <c r="D30" t="s">
        <v>44</v>
      </c>
      <c r="E30" t="s">
        <v>23</v>
      </c>
      <c r="F30" s="2">
        <v>46301</v>
      </c>
      <c r="G30" s="2"/>
      <c r="H30" s="2">
        <v>46344</v>
      </c>
      <c r="I30" s="4" t="s">
        <v>91</v>
      </c>
      <c r="J30" t="s">
        <v>25</v>
      </c>
      <c r="L30" t="s">
        <v>27</v>
      </c>
    </row>
    <row r="31" spans="1:12" x14ac:dyDescent="0.45">
      <c r="A31" t="s">
        <v>19</v>
      </c>
      <c r="B31" t="s">
        <v>92</v>
      </c>
      <c r="C31" t="s">
        <v>93</v>
      </c>
      <c r="D31" t="s">
        <v>57</v>
      </c>
      <c r="E31" t="s">
        <v>23</v>
      </c>
      <c r="F31" s="2">
        <v>46301</v>
      </c>
      <c r="G31" s="2">
        <v>46274</v>
      </c>
      <c r="H31" s="8"/>
      <c r="I31" t="s">
        <v>94</v>
      </c>
      <c r="J31" t="s">
        <v>25</v>
      </c>
      <c r="L31" t="s">
        <v>27</v>
      </c>
    </row>
    <row r="32" spans="1:12" x14ac:dyDescent="0.45">
      <c r="A32" t="s">
        <v>19</v>
      </c>
      <c r="B32" t="s">
        <v>92</v>
      </c>
      <c r="C32" t="s">
        <v>95</v>
      </c>
      <c r="D32" t="s">
        <v>57</v>
      </c>
      <c r="E32" t="s">
        <v>49</v>
      </c>
      <c r="F32" s="2">
        <v>46301</v>
      </c>
      <c r="G32" s="2">
        <v>46274</v>
      </c>
      <c r="H32" s="8"/>
      <c r="I32" s="4" t="s">
        <v>96</v>
      </c>
      <c r="J32" t="s">
        <v>25</v>
      </c>
      <c r="L32" t="s">
        <v>27</v>
      </c>
    </row>
    <row r="33" spans="1:12" x14ac:dyDescent="0.45">
      <c r="A33" t="s">
        <v>19</v>
      </c>
      <c r="B33" t="s">
        <v>92</v>
      </c>
      <c r="C33" t="s">
        <v>97</v>
      </c>
      <c r="D33" t="s">
        <v>57</v>
      </c>
      <c r="E33" t="s">
        <v>49</v>
      </c>
      <c r="F33" s="2">
        <v>46301</v>
      </c>
      <c r="G33" s="2">
        <v>46274</v>
      </c>
      <c r="H33" s="8"/>
      <c r="I33" s="4" t="s">
        <v>98</v>
      </c>
      <c r="J33" t="s">
        <v>25</v>
      </c>
      <c r="L33" t="s">
        <v>27</v>
      </c>
    </row>
    <row r="34" spans="1:12" x14ac:dyDescent="0.45">
      <c r="A34" t="s">
        <v>99</v>
      </c>
      <c r="B34" t="s">
        <v>92</v>
      </c>
      <c r="C34" t="s">
        <v>100</v>
      </c>
      <c r="D34" t="s">
        <v>57</v>
      </c>
      <c r="E34" t="s">
        <v>23</v>
      </c>
      <c r="F34" s="2">
        <v>46301</v>
      </c>
      <c r="G34" s="2">
        <v>46274</v>
      </c>
      <c r="H34" s="8"/>
      <c r="I34" s="4" t="s">
        <v>101</v>
      </c>
      <c r="J34" t="s">
        <v>25</v>
      </c>
      <c r="L34" t="s">
        <v>27</v>
      </c>
    </row>
    <row r="35" spans="1:12" x14ac:dyDescent="0.45">
      <c r="A35" t="s">
        <v>19</v>
      </c>
      <c r="B35" t="s">
        <v>92</v>
      </c>
      <c r="C35" t="s">
        <v>102</v>
      </c>
      <c r="D35" t="s">
        <v>57</v>
      </c>
      <c r="E35" t="s">
        <v>23</v>
      </c>
      <c r="F35" s="2">
        <v>46301</v>
      </c>
      <c r="G35" s="2">
        <v>46274</v>
      </c>
      <c r="H35" s="8"/>
      <c r="I35" s="4" t="s">
        <v>103</v>
      </c>
      <c r="J35" t="s">
        <v>25</v>
      </c>
      <c r="L35" t="s">
        <v>27</v>
      </c>
    </row>
    <row r="36" spans="1:12" x14ac:dyDescent="0.45">
      <c r="A36" t="s">
        <v>19</v>
      </c>
      <c r="B36" t="s">
        <v>92</v>
      </c>
      <c r="C36" t="s">
        <v>104</v>
      </c>
      <c r="D36" t="s">
        <v>57</v>
      </c>
      <c r="E36" t="s">
        <v>49</v>
      </c>
      <c r="F36" s="2">
        <v>46301</v>
      </c>
      <c r="G36" s="2">
        <v>46274</v>
      </c>
      <c r="H36" s="8"/>
      <c r="I36" s="4" t="s">
        <v>105</v>
      </c>
      <c r="J36" t="s">
        <v>25</v>
      </c>
      <c r="L36" t="s">
        <v>27</v>
      </c>
    </row>
    <row r="37" spans="1:12" x14ac:dyDescent="0.45">
      <c r="A37" t="s">
        <v>19</v>
      </c>
      <c r="B37" t="s">
        <v>92</v>
      </c>
      <c r="C37" t="s">
        <v>106</v>
      </c>
      <c r="D37" t="s">
        <v>57</v>
      </c>
      <c r="E37" t="s">
        <v>23</v>
      </c>
      <c r="F37" s="2">
        <v>46301</v>
      </c>
      <c r="G37" s="2">
        <v>46274</v>
      </c>
      <c r="H37" s="8"/>
      <c r="I37" s="4" t="s">
        <v>107</v>
      </c>
      <c r="J37" t="s">
        <v>25</v>
      </c>
      <c r="L37" t="s">
        <v>27</v>
      </c>
    </row>
    <row r="38" spans="1:12" x14ac:dyDescent="0.45">
      <c r="A38" t="s">
        <v>19</v>
      </c>
      <c r="B38" t="s">
        <v>92</v>
      </c>
      <c r="C38" t="s">
        <v>108</v>
      </c>
      <c r="D38" t="s">
        <v>57</v>
      </c>
      <c r="E38" t="s">
        <v>49</v>
      </c>
      <c r="F38" s="2">
        <v>46301</v>
      </c>
      <c r="G38" s="2">
        <v>46274</v>
      </c>
      <c r="H38" s="8"/>
      <c r="I38" s="4" t="s">
        <v>109</v>
      </c>
      <c r="J38" t="s">
        <v>25</v>
      </c>
      <c r="L38" t="s">
        <v>27</v>
      </c>
    </row>
    <row r="39" spans="1:12" x14ac:dyDescent="0.45">
      <c r="A39" t="s">
        <v>46</v>
      </c>
      <c r="B39" t="s">
        <v>110</v>
      </c>
      <c r="C39" t="s">
        <v>111</v>
      </c>
      <c r="D39" t="s">
        <v>112</v>
      </c>
      <c r="E39" t="s">
        <v>113</v>
      </c>
      <c r="F39" s="2">
        <v>46301</v>
      </c>
      <c r="G39" s="8"/>
      <c r="H39" s="8"/>
      <c r="I39" t="s">
        <v>114</v>
      </c>
      <c r="J39" t="s">
        <v>25</v>
      </c>
      <c r="L39" t="s">
        <v>27</v>
      </c>
    </row>
    <row r="40" spans="1:12" x14ac:dyDescent="0.45">
      <c r="A40" t="s">
        <v>46</v>
      </c>
      <c r="B40" t="s">
        <v>110</v>
      </c>
      <c r="C40" t="s">
        <v>115</v>
      </c>
      <c r="E40" t="s">
        <v>116</v>
      </c>
      <c r="F40" s="2">
        <v>46301</v>
      </c>
      <c r="G40" s="2"/>
      <c r="H40" s="8"/>
      <c r="I40" t="s">
        <v>117</v>
      </c>
      <c r="J40" t="s">
        <v>25</v>
      </c>
      <c r="L40" t="s">
        <v>27</v>
      </c>
    </row>
    <row r="41" spans="1:12" x14ac:dyDescent="0.45">
      <c r="A41" t="s">
        <v>46</v>
      </c>
      <c r="B41" t="s">
        <v>110</v>
      </c>
      <c r="C41" t="s">
        <v>118</v>
      </c>
      <c r="E41" t="s">
        <v>119</v>
      </c>
      <c r="F41" s="2">
        <v>46301</v>
      </c>
      <c r="G41" s="2"/>
      <c r="H41" s="8"/>
      <c r="I41" t="s">
        <v>120</v>
      </c>
      <c r="J41" t="s">
        <v>25</v>
      </c>
      <c r="L41" t="s">
        <v>27</v>
      </c>
    </row>
    <row r="42" spans="1:12" x14ac:dyDescent="0.45">
      <c r="A42" t="s">
        <v>46</v>
      </c>
      <c r="B42" t="s">
        <v>110</v>
      </c>
      <c r="C42" t="s">
        <v>121</v>
      </c>
      <c r="E42" t="s">
        <v>122</v>
      </c>
      <c r="F42" s="2">
        <v>46301</v>
      </c>
      <c r="G42" s="2"/>
      <c r="H42" s="8"/>
      <c r="I42" t="s">
        <v>123</v>
      </c>
      <c r="J42" t="s">
        <v>25</v>
      </c>
      <c r="L42" t="s">
        <v>27</v>
      </c>
    </row>
    <row r="43" spans="1:12" x14ac:dyDescent="0.45">
      <c r="A43" t="s">
        <v>46</v>
      </c>
      <c r="B43" t="s">
        <v>110</v>
      </c>
      <c r="C43" t="s">
        <v>124</v>
      </c>
      <c r="E43" t="s">
        <v>125</v>
      </c>
      <c r="F43" s="2">
        <v>46301</v>
      </c>
      <c r="G43" s="2"/>
      <c r="H43" s="8"/>
      <c r="I43" t="s">
        <v>126</v>
      </c>
      <c r="J43" t="s">
        <v>25</v>
      </c>
      <c r="L43" t="s">
        <v>27</v>
      </c>
    </row>
    <row r="44" spans="1:12" x14ac:dyDescent="0.45">
      <c r="A44" t="s">
        <v>46</v>
      </c>
      <c r="B44" t="s">
        <v>110</v>
      </c>
      <c r="C44" t="s">
        <v>127</v>
      </c>
      <c r="E44" t="s">
        <v>128</v>
      </c>
      <c r="F44" s="2">
        <v>46301</v>
      </c>
      <c r="G44" s="2"/>
      <c r="H44" s="8"/>
      <c r="I44" t="s">
        <v>129</v>
      </c>
      <c r="J44" t="s">
        <v>25</v>
      </c>
      <c r="L44" t="s">
        <v>27</v>
      </c>
    </row>
    <row r="45" spans="1:12" x14ac:dyDescent="0.45">
      <c r="A45" t="s">
        <v>46</v>
      </c>
      <c r="B45" t="s">
        <v>110</v>
      </c>
      <c r="C45" t="s">
        <v>130</v>
      </c>
      <c r="D45" t="s">
        <v>22</v>
      </c>
      <c r="E45" t="s">
        <v>131</v>
      </c>
      <c r="F45" s="2">
        <v>46301</v>
      </c>
      <c r="G45" s="8"/>
      <c r="H45" s="8"/>
      <c r="I45" t="s">
        <v>132</v>
      </c>
      <c r="J45" t="s">
        <v>25</v>
      </c>
      <c r="L45" t="s">
        <v>27</v>
      </c>
    </row>
    <row r="46" spans="1:12" x14ac:dyDescent="0.45">
      <c r="A46" t="s">
        <v>46</v>
      </c>
      <c r="B46" t="s">
        <v>133</v>
      </c>
      <c r="C46" t="s">
        <v>134</v>
      </c>
      <c r="D46" t="s">
        <v>44</v>
      </c>
      <c r="E46" t="s">
        <v>135</v>
      </c>
      <c r="F46" s="2">
        <v>46301</v>
      </c>
      <c r="G46" s="2"/>
      <c r="H46" s="8"/>
      <c r="I46" t="s">
        <v>136</v>
      </c>
      <c r="J46" t="s">
        <v>25</v>
      </c>
      <c r="L46" t="s">
        <v>27</v>
      </c>
    </row>
    <row r="47" spans="1:12" x14ac:dyDescent="0.45">
      <c r="A47" t="s">
        <v>46</v>
      </c>
      <c r="B47" t="s">
        <v>137</v>
      </c>
      <c r="C47" t="s">
        <v>138</v>
      </c>
      <c r="D47" t="s">
        <v>22</v>
      </c>
      <c r="E47" t="s">
        <v>139</v>
      </c>
      <c r="F47" s="2">
        <v>46301</v>
      </c>
      <c r="G47" s="8"/>
      <c r="H47" s="8"/>
      <c r="I47" t="s">
        <v>140</v>
      </c>
      <c r="J47" t="s">
        <v>25</v>
      </c>
      <c r="L47" t="s">
        <v>27</v>
      </c>
    </row>
    <row r="48" spans="1:12" x14ac:dyDescent="0.45">
      <c r="A48" t="s">
        <v>46</v>
      </c>
      <c r="B48" t="s">
        <v>137</v>
      </c>
      <c r="C48" t="s">
        <v>141</v>
      </c>
      <c r="D48" t="s">
        <v>22</v>
      </c>
      <c r="E48" t="s">
        <v>142</v>
      </c>
      <c r="F48" s="2">
        <v>46301</v>
      </c>
      <c r="G48" s="8"/>
      <c r="H48" s="8"/>
      <c r="I48" t="s">
        <v>143</v>
      </c>
      <c r="J48" t="s">
        <v>25</v>
      </c>
      <c r="L48" t="s">
        <v>27</v>
      </c>
    </row>
    <row r="49" spans="1:12" x14ac:dyDescent="0.45">
      <c r="A49" t="s">
        <v>19</v>
      </c>
      <c r="B49" t="s">
        <v>144</v>
      </c>
      <c r="C49" t="s">
        <v>145</v>
      </c>
      <c r="D49" t="s">
        <v>44</v>
      </c>
      <c r="E49" t="s">
        <v>146</v>
      </c>
      <c r="F49" s="2">
        <v>46301</v>
      </c>
      <c r="G49" s="2"/>
      <c r="H49" s="8"/>
      <c r="I49" t="s">
        <v>147</v>
      </c>
      <c r="J49" t="s">
        <v>25</v>
      </c>
      <c r="L49" t="s">
        <v>27</v>
      </c>
    </row>
    <row r="50" spans="1:12" x14ac:dyDescent="0.45">
      <c r="A50" t="s">
        <v>19</v>
      </c>
      <c r="B50" t="s">
        <v>144</v>
      </c>
      <c r="C50" t="s">
        <v>148</v>
      </c>
      <c r="D50" t="s">
        <v>57</v>
      </c>
      <c r="E50" t="s">
        <v>23</v>
      </c>
      <c r="F50" s="2">
        <v>46301</v>
      </c>
      <c r="G50" s="2"/>
      <c r="H50" s="8"/>
      <c r="I50" t="s">
        <v>149</v>
      </c>
      <c r="J50" t="s">
        <v>25</v>
      </c>
      <c r="L50" t="s">
        <v>27</v>
      </c>
    </row>
    <row r="51" spans="1:12" x14ac:dyDescent="0.45">
      <c r="A51" t="s">
        <v>19</v>
      </c>
      <c r="B51" t="s">
        <v>144</v>
      </c>
      <c r="C51" t="s">
        <v>150</v>
      </c>
      <c r="D51" t="s">
        <v>57</v>
      </c>
      <c r="E51" t="s">
        <v>23</v>
      </c>
      <c r="F51" s="2">
        <v>46301</v>
      </c>
      <c r="G51" s="2"/>
      <c r="H51" s="8"/>
      <c r="I51" t="s">
        <v>151</v>
      </c>
      <c r="J51" t="s">
        <v>25</v>
      </c>
      <c r="L51" t="s">
        <v>27</v>
      </c>
    </row>
    <row r="52" spans="1:12" x14ac:dyDescent="0.45">
      <c r="A52" t="s">
        <v>19</v>
      </c>
      <c r="B52" t="s">
        <v>144</v>
      </c>
      <c r="C52" t="s">
        <v>152</v>
      </c>
      <c r="D52" t="s">
        <v>57</v>
      </c>
      <c r="E52" t="s">
        <v>23</v>
      </c>
      <c r="F52" s="2">
        <v>46301</v>
      </c>
      <c r="G52" s="2"/>
      <c r="H52" s="8"/>
      <c r="I52" t="s">
        <v>153</v>
      </c>
      <c r="J52" t="s">
        <v>25</v>
      </c>
      <c r="L52" t="s">
        <v>27</v>
      </c>
    </row>
    <row r="53" spans="1:12" x14ac:dyDescent="0.45">
      <c r="A53" t="s">
        <v>19</v>
      </c>
      <c r="B53" t="s">
        <v>144</v>
      </c>
      <c r="C53" t="s">
        <v>154</v>
      </c>
      <c r="D53" t="s">
        <v>57</v>
      </c>
      <c r="E53" t="s">
        <v>23</v>
      </c>
      <c r="F53" s="2">
        <v>46301</v>
      </c>
      <c r="G53" s="2"/>
      <c r="H53" s="8"/>
      <c r="I53" t="s">
        <v>155</v>
      </c>
      <c r="J53" t="s">
        <v>25</v>
      </c>
      <c r="L53" t="s">
        <v>27</v>
      </c>
    </row>
    <row r="54" spans="1:12" x14ac:dyDescent="0.45">
      <c r="A54" t="s">
        <v>46</v>
      </c>
      <c r="B54" t="s">
        <v>61</v>
      </c>
      <c r="C54" t="s">
        <v>156</v>
      </c>
      <c r="D54" t="s">
        <v>57</v>
      </c>
      <c r="E54" t="s">
        <v>63</v>
      </c>
      <c r="F54" s="2">
        <v>46301</v>
      </c>
      <c r="G54" s="2"/>
      <c r="H54" s="2"/>
      <c r="I54" t="s">
        <v>157</v>
      </c>
      <c r="J54" t="s">
        <v>25</v>
      </c>
      <c r="L54" t="s">
        <v>27</v>
      </c>
    </row>
    <row r="55" spans="1:12" x14ac:dyDescent="0.45">
      <c r="A55" t="s">
        <v>46</v>
      </c>
      <c r="B55" t="s">
        <v>61</v>
      </c>
      <c r="C55" t="s">
        <v>158</v>
      </c>
      <c r="D55" t="s">
        <v>57</v>
      </c>
      <c r="E55" t="s">
        <v>63</v>
      </c>
      <c r="F55" s="2">
        <v>46301</v>
      </c>
      <c r="G55" s="2"/>
      <c r="H55" s="2"/>
      <c r="I55" s="4" t="s">
        <v>159</v>
      </c>
      <c r="J55" t="s">
        <v>25</v>
      </c>
      <c r="L55" t="s">
        <v>27</v>
      </c>
    </row>
    <row r="56" spans="1:12" x14ac:dyDescent="0.45">
      <c r="A56" t="s">
        <v>99</v>
      </c>
      <c r="B56" t="s">
        <v>160</v>
      </c>
      <c r="C56" t="s">
        <v>161</v>
      </c>
      <c r="D56" t="s">
        <v>57</v>
      </c>
      <c r="E56" t="s">
        <v>49</v>
      </c>
      <c r="F56" s="2">
        <v>46301</v>
      </c>
      <c r="G56" s="2"/>
      <c r="H56" s="2"/>
      <c r="I56" s="4" t="s">
        <v>162</v>
      </c>
      <c r="J56" t="s">
        <v>35</v>
      </c>
      <c r="L56" t="s">
        <v>27</v>
      </c>
    </row>
    <row r="57" spans="1:12" x14ac:dyDescent="0.45">
      <c r="A57" t="s">
        <v>99</v>
      </c>
      <c r="B57" t="s">
        <v>160</v>
      </c>
      <c r="C57" t="s">
        <v>163</v>
      </c>
      <c r="D57" t="s">
        <v>57</v>
      </c>
      <c r="E57" t="s">
        <v>49</v>
      </c>
      <c r="F57" s="2">
        <v>46301</v>
      </c>
      <c r="G57" s="2"/>
      <c r="H57" s="2"/>
      <c r="I57" s="4" t="s">
        <v>164</v>
      </c>
      <c r="J57" t="s">
        <v>35</v>
      </c>
      <c r="L57" t="s">
        <v>27</v>
      </c>
    </row>
    <row r="58" spans="1:12" x14ac:dyDescent="0.45">
      <c r="A58" t="s">
        <v>19</v>
      </c>
      <c r="B58" t="s">
        <v>165</v>
      </c>
      <c r="C58" t="s">
        <v>166</v>
      </c>
      <c r="D58" s="16"/>
      <c r="E58" t="s">
        <v>49</v>
      </c>
      <c r="F58" s="2">
        <v>46301</v>
      </c>
      <c r="G58" s="2"/>
      <c r="H58" s="2"/>
      <c r="I58" s="4" t="s">
        <v>167</v>
      </c>
    </row>
    <row r="59" spans="1:12" x14ac:dyDescent="0.45">
      <c r="A59" t="s">
        <v>99</v>
      </c>
      <c r="B59" t="s">
        <v>168</v>
      </c>
      <c r="C59" t="s">
        <v>169</v>
      </c>
      <c r="D59" t="s">
        <v>57</v>
      </c>
      <c r="E59" t="s">
        <v>54</v>
      </c>
      <c r="F59" s="2">
        <v>46301</v>
      </c>
      <c r="G59" s="2">
        <v>46276</v>
      </c>
      <c r="H59" s="2"/>
      <c r="I59" s="4" t="s">
        <v>170</v>
      </c>
    </row>
    <row r="60" spans="1:12" x14ac:dyDescent="0.45">
      <c r="A60" t="s">
        <v>19</v>
      </c>
      <c r="B60" s="4" t="s">
        <v>171</v>
      </c>
      <c r="C60" s="4" t="s">
        <v>172</v>
      </c>
      <c r="D60" s="16"/>
      <c r="E60" t="s">
        <v>49</v>
      </c>
      <c r="F60" s="2">
        <v>46301</v>
      </c>
      <c r="G60" s="2"/>
      <c r="H60" s="2"/>
      <c r="I60" s="4" t="s">
        <v>173</v>
      </c>
    </row>
    <row r="61" spans="1:12" x14ac:dyDescent="0.45">
      <c r="A61" t="s">
        <v>46</v>
      </c>
      <c r="B61" s="4" t="s">
        <v>174</v>
      </c>
      <c r="C61" s="4" t="s">
        <v>175</v>
      </c>
      <c r="D61" t="s">
        <v>57</v>
      </c>
      <c r="E61" t="s">
        <v>139</v>
      </c>
      <c r="F61" s="2">
        <v>46301</v>
      </c>
      <c r="G61" s="2"/>
      <c r="H61" s="2"/>
      <c r="I61" s="4" t="s">
        <v>176</v>
      </c>
    </row>
    <row r="62" spans="1:12" x14ac:dyDescent="0.45">
      <c r="A62" t="s">
        <v>46</v>
      </c>
      <c r="B62" s="4" t="s">
        <v>174</v>
      </c>
      <c r="C62" s="4" t="s">
        <v>177</v>
      </c>
      <c r="D62" t="s">
        <v>57</v>
      </c>
      <c r="E62" t="s">
        <v>139</v>
      </c>
      <c r="F62" s="2">
        <v>46301</v>
      </c>
      <c r="G62" s="2"/>
      <c r="H62" s="2"/>
      <c r="I62" s="4" t="s">
        <v>178</v>
      </c>
    </row>
    <row r="63" spans="1:12" x14ac:dyDescent="0.45">
      <c r="A63" t="s">
        <v>19</v>
      </c>
      <c r="B63" s="4" t="s">
        <v>179</v>
      </c>
      <c r="C63" s="4" t="s">
        <v>180</v>
      </c>
      <c r="E63" t="s">
        <v>181</v>
      </c>
      <c r="F63" s="2">
        <v>46301</v>
      </c>
      <c r="G63" s="2"/>
      <c r="H63" s="2"/>
      <c r="I63" s="4" t="s">
        <v>182</v>
      </c>
    </row>
    <row r="64" spans="1:12" x14ac:dyDescent="0.45">
      <c r="A64" t="s">
        <v>46</v>
      </c>
      <c r="B64" s="4" t="s">
        <v>183</v>
      </c>
      <c r="C64" s="4" t="s">
        <v>184</v>
      </c>
      <c r="E64" t="s">
        <v>23</v>
      </c>
      <c r="F64" s="2">
        <v>46301</v>
      </c>
      <c r="G64" s="2"/>
      <c r="H64" s="2"/>
      <c r="I64" s="4" t="s">
        <v>185</v>
      </c>
    </row>
    <row r="65" spans="1:12" x14ac:dyDescent="0.45">
      <c r="A65" t="s">
        <v>19</v>
      </c>
      <c r="B65" s="4" t="s">
        <v>186</v>
      </c>
      <c r="C65" s="4" t="s">
        <v>187</v>
      </c>
      <c r="E65" t="s">
        <v>188</v>
      </c>
      <c r="F65" s="2">
        <v>46301</v>
      </c>
      <c r="G65" s="2"/>
      <c r="H65" s="2"/>
      <c r="I65" s="4" t="s">
        <v>167</v>
      </c>
    </row>
    <row r="66" spans="1:12" x14ac:dyDescent="0.45">
      <c r="A66" t="s">
        <v>46</v>
      </c>
      <c r="B66" s="4" t="s">
        <v>189</v>
      </c>
      <c r="C66" s="4" t="s">
        <v>190</v>
      </c>
      <c r="E66" t="s">
        <v>23</v>
      </c>
      <c r="F66" s="2">
        <v>46301</v>
      </c>
      <c r="G66" s="2"/>
      <c r="H66" s="2"/>
      <c r="I66" s="4" t="s">
        <v>191</v>
      </c>
    </row>
    <row r="67" spans="1:12" x14ac:dyDescent="0.45">
      <c r="A67" t="s">
        <v>19</v>
      </c>
      <c r="B67" s="4" t="s">
        <v>71</v>
      </c>
      <c r="C67" s="4" t="s">
        <v>192</v>
      </c>
      <c r="E67" t="s">
        <v>23</v>
      </c>
      <c r="F67" s="2">
        <v>46301</v>
      </c>
      <c r="G67" s="2">
        <v>46276</v>
      </c>
      <c r="H67" s="2"/>
      <c r="I67" s="4" t="s">
        <v>193</v>
      </c>
      <c r="L67" t="s">
        <v>194</v>
      </c>
    </row>
    <row r="68" spans="1:12" x14ac:dyDescent="0.45">
      <c r="A68" t="s">
        <v>19</v>
      </c>
      <c r="B68" s="4" t="s">
        <v>71</v>
      </c>
      <c r="C68" s="4" t="s">
        <v>192</v>
      </c>
      <c r="E68" t="s">
        <v>23</v>
      </c>
      <c r="F68" s="2">
        <v>46301</v>
      </c>
      <c r="G68" s="2">
        <v>46276</v>
      </c>
      <c r="H68" s="2"/>
      <c r="I68" s="4" t="s">
        <v>193</v>
      </c>
      <c r="L68" t="s">
        <v>27</v>
      </c>
    </row>
    <row r="69" spans="1:12" x14ac:dyDescent="0.45">
      <c r="A69" t="s">
        <v>46</v>
      </c>
      <c r="B69" s="4" t="s">
        <v>195</v>
      </c>
      <c r="C69" s="4" t="s">
        <v>196</v>
      </c>
      <c r="E69" t="s">
        <v>23</v>
      </c>
      <c r="F69" s="2">
        <v>46301</v>
      </c>
      <c r="G69" s="2"/>
      <c r="H69" s="2"/>
      <c r="I69" s="4" t="s">
        <v>197</v>
      </c>
    </row>
    <row r="70" spans="1:12" x14ac:dyDescent="0.45">
      <c r="A70" t="s">
        <v>46</v>
      </c>
      <c r="B70" s="4" t="s">
        <v>198</v>
      </c>
      <c r="C70" s="4" t="s">
        <v>199</v>
      </c>
      <c r="E70" t="s">
        <v>23</v>
      </c>
      <c r="F70" s="2">
        <v>46301</v>
      </c>
      <c r="G70" s="2"/>
      <c r="H70" s="2"/>
      <c r="I70" s="4" t="s">
        <v>200</v>
      </c>
    </row>
    <row r="71" spans="1:12" x14ac:dyDescent="0.45">
      <c r="A71" t="s">
        <v>19</v>
      </c>
      <c r="B71" s="4" t="s">
        <v>201</v>
      </c>
      <c r="C71" s="4" t="s">
        <v>202</v>
      </c>
      <c r="D71" t="s">
        <v>44</v>
      </c>
      <c r="E71" t="s">
        <v>23</v>
      </c>
      <c r="F71" s="2">
        <v>46301</v>
      </c>
      <c r="G71" s="2"/>
      <c r="H71" s="2"/>
      <c r="I71" s="4" t="s">
        <v>203</v>
      </c>
    </row>
    <row r="72" spans="1:12" x14ac:dyDescent="0.45">
      <c r="A72" t="s">
        <v>46</v>
      </c>
      <c r="B72" s="4" t="s">
        <v>204</v>
      </c>
      <c r="C72" s="4" t="s">
        <v>205</v>
      </c>
      <c r="E72" t="s">
        <v>23</v>
      </c>
      <c r="F72" s="2">
        <v>46301</v>
      </c>
      <c r="G72" s="2"/>
      <c r="H72" s="2"/>
      <c r="I72" s="4" t="s">
        <v>206</v>
      </c>
    </row>
    <row r="73" spans="1:12" x14ac:dyDescent="0.45">
      <c r="A73" t="s">
        <v>46</v>
      </c>
      <c r="B73" s="4" t="s">
        <v>207</v>
      </c>
      <c r="C73" s="4" t="s">
        <v>208</v>
      </c>
      <c r="E73" t="s">
        <v>23</v>
      </c>
      <c r="F73" s="2">
        <v>46301</v>
      </c>
      <c r="G73" s="2"/>
      <c r="H73" s="2"/>
      <c r="I73" s="4" t="s">
        <v>209</v>
      </c>
    </row>
    <row r="74" spans="1:12" x14ac:dyDescent="0.45">
      <c r="A74" t="s">
        <v>46</v>
      </c>
      <c r="B74" s="4" t="s">
        <v>210</v>
      </c>
      <c r="C74" s="4" t="s">
        <v>211</v>
      </c>
      <c r="E74" t="s">
        <v>23</v>
      </c>
      <c r="F74" s="2">
        <v>46301</v>
      </c>
      <c r="G74" s="2"/>
      <c r="H74" s="2"/>
      <c r="I74" s="4" t="s">
        <v>212</v>
      </c>
    </row>
    <row r="75" spans="1:12" x14ac:dyDescent="0.45">
      <c r="A75" t="s">
        <v>19</v>
      </c>
      <c r="B75" s="4" t="s">
        <v>213</v>
      </c>
      <c r="C75" s="4" t="s">
        <v>214</v>
      </c>
      <c r="E75" t="s">
        <v>23</v>
      </c>
      <c r="F75" s="2">
        <v>46301</v>
      </c>
      <c r="G75" s="2"/>
      <c r="H75" s="2"/>
      <c r="I75" s="4" t="s">
        <v>215</v>
      </c>
    </row>
    <row r="76" spans="1:12" x14ac:dyDescent="0.45">
      <c r="A76" t="s">
        <v>19</v>
      </c>
      <c r="B76" s="4" t="s">
        <v>216</v>
      </c>
      <c r="C76" s="4" t="s">
        <v>217</v>
      </c>
      <c r="E76" t="s">
        <v>23</v>
      </c>
      <c r="F76" s="2">
        <v>46301</v>
      </c>
      <c r="G76" s="2"/>
      <c r="H76" s="2"/>
      <c r="I76" s="4" t="s">
        <v>218</v>
      </c>
    </row>
    <row r="77" spans="1:12" x14ac:dyDescent="0.45">
      <c r="A77" t="s">
        <v>19</v>
      </c>
      <c r="B77" s="4" t="s">
        <v>219</v>
      </c>
      <c r="C77" s="4" t="s">
        <v>220</v>
      </c>
      <c r="E77" t="s">
        <v>221</v>
      </c>
      <c r="F77" s="2">
        <v>46301</v>
      </c>
      <c r="G77" s="2"/>
      <c r="H77" s="2"/>
      <c r="I77" s="4" t="s">
        <v>222</v>
      </c>
    </row>
    <row r="78" spans="1:12" x14ac:dyDescent="0.45">
      <c r="A78" t="s">
        <v>46</v>
      </c>
      <c r="B78" s="4" t="s">
        <v>195</v>
      </c>
      <c r="C78" s="4" t="s">
        <v>223</v>
      </c>
      <c r="E78" t="s">
        <v>23</v>
      </c>
      <c r="F78" s="2">
        <v>46301</v>
      </c>
      <c r="G78" s="2"/>
      <c r="H78" s="2"/>
      <c r="I78" s="4" t="s">
        <v>224</v>
      </c>
    </row>
    <row r="79" spans="1:12" x14ac:dyDescent="0.45">
      <c r="A79" t="s">
        <v>46</v>
      </c>
      <c r="B79" s="4" t="s">
        <v>195</v>
      </c>
      <c r="C79" s="4" t="s">
        <v>225</v>
      </c>
      <c r="E79" t="s">
        <v>23</v>
      </c>
      <c r="F79" s="2">
        <v>46301</v>
      </c>
      <c r="G79" s="2"/>
      <c r="H79" s="2"/>
      <c r="I79" s="4" t="s">
        <v>226</v>
      </c>
    </row>
    <row r="80" spans="1:12" x14ac:dyDescent="0.45">
      <c r="A80" t="s">
        <v>46</v>
      </c>
      <c r="B80" s="4" t="s">
        <v>227</v>
      </c>
      <c r="C80" s="4" t="s">
        <v>228</v>
      </c>
      <c r="E80" t="s">
        <v>229</v>
      </c>
      <c r="F80" s="2">
        <v>46301</v>
      </c>
      <c r="G80" s="2"/>
      <c r="H80" s="2"/>
      <c r="I80" s="4" t="s">
        <v>230</v>
      </c>
    </row>
    <row r="81" spans="1:12" x14ac:dyDescent="0.45">
      <c r="A81" t="s">
        <v>19</v>
      </c>
      <c r="B81" s="4" t="s">
        <v>207</v>
      </c>
      <c r="C81" s="4" t="s">
        <v>231</v>
      </c>
      <c r="E81" t="s">
        <v>23</v>
      </c>
      <c r="F81" s="2">
        <v>46301</v>
      </c>
      <c r="G81" s="2"/>
      <c r="H81" s="2"/>
      <c r="I81" s="4" t="s">
        <v>232</v>
      </c>
    </row>
    <row r="82" spans="1:12" x14ac:dyDescent="0.45">
      <c r="A82" t="s">
        <v>19</v>
      </c>
      <c r="B82" s="4" t="s">
        <v>233</v>
      </c>
      <c r="C82" s="4" t="s">
        <v>234</v>
      </c>
      <c r="E82" t="s">
        <v>235</v>
      </c>
      <c r="F82" s="2">
        <v>46301</v>
      </c>
      <c r="G82" s="2"/>
      <c r="H82" s="2"/>
      <c r="I82" s="4" t="s">
        <v>236</v>
      </c>
    </row>
    <row r="83" spans="1:12" x14ac:dyDescent="0.45">
      <c r="A83" t="s">
        <v>19</v>
      </c>
      <c r="B83" s="4" t="s">
        <v>237</v>
      </c>
      <c r="C83" s="4" t="s">
        <v>238</v>
      </c>
      <c r="E83" t="s">
        <v>23</v>
      </c>
      <c r="F83" s="2">
        <v>46301</v>
      </c>
      <c r="G83" s="2"/>
      <c r="H83" s="2"/>
      <c r="I83" s="4" t="s">
        <v>239</v>
      </c>
    </row>
    <row r="84" spans="1:12" x14ac:dyDescent="0.45">
      <c r="A84" t="s">
        <v>19</v>
      </c>
      <c r="B84" s="4" t="s">
        <v>237</v>
      </c>
      <c r="C84" s="4" t="s">
        <v>240</v>
      </c>
      <c r="E84" t="s">
        <v>23</v>
      </c>
      <c r="F84" s="2">
        <v>46301</v>
      </c>
      <c r="G84" s="2"/>
      <c r="H84" s="2"/>
      <c r="I84" s="4" t="s">
        <v>241</v>
      </c>
    </row>
    <row r="85" spans="1:12" x14ac:dyDescent="0.45">
      <c r="A85" t="s">
        <v>19</v>
      </c>
      <c r="B85" s="4" t="s">
        <v>242</v>
      </c>
      <c r="C85" s="4" t="s">
        <v>243</v>
      </c>
      <c r="E85" t="s">
        <v>23</v>
      </c>
      <c r="F85" s="2">
        <v>46301</v>
      </c>
      <c r="G85" s="2"/>
      <c r="H85" s="2"/>
      <c r="I85" s="4" t="s">
        <v>244</v>
      </c>
    </row>
    <row r="86" spans="1:12" x14ac:dyDescent="0.45">
      <c r="A86" t="s">
        <v>46</v>
      </c>
      <c r="B86" s="4" t="s">
        <v>245</v>
      </c>
      <c r="C86" s="4" t="s">
        <v>246</v>
      </c>
      <c r="E86" t="s">
        <v>23</v>
      </c>
      <c r="F86" s="2">
        <v>46301</v>
      </c>
      <c r="G86" s="2"/>
      <c r="H86" s="2"/>
      <c r="I86" s="4" t="s">
        <v>247</v>
      </c>
    </row>
    <row r="87" spans="1:12" x14ac:dyDescent="0.45">
      <c r="A87" t="s">
        <v>46</v>
      </c>
      <c r="B87" t="s">
        <v>133</v>
      </c>
      <c r="C87" s="4" t="s">
        <v>248</v>
      </c>
      <c r="E87" t="s">
        <v>23</v>
      </c>
      <c r="F87" s="2">
        <v>46301</v>
      </c>
      <c r="G87" s="2"/>
      <c r="H87" s="2"/>
      <c r="I87" s="4" t="s">
        <v>249</v>
      </c>
    </row>
    <row r="88" spans="1:12" x14ac:dyDescent="0.45">
      <c r="A88" t="s">
        <v>46</v>
      </c>
      <c r="B88" s="4" t="s">
        <v>250</v>
      </c>
      <c r="C88" s="4" t="s">
        <v>251</v>
      </c>
      <c r="E88" t="s">
        <v>23</v>
      </c>
      <c r="F88" s="2">
        <v>46301</v>
      </c>
      <c r="G88" s="2"/>
      <c r="H88" s="2"/>
      <c r="I88" s="4" t="s">
        <v>252</v>
      </c>
    </row>
    <row r="89" spans="1:12" x14ac:dyDescent="0.45">
      <c r="A89" t="s">
        <v>46</v>
      </c>
      <c r="B89" s="4" t="s">
        <v>250</v>
      </c>
      <c r="C89" s="4" t="s">
        <v>251</v>
      </c>
      <c r="E89" t="s">
        <v>23</v>
      </c>
      <c r="F89" s="2">
        <v>46301</v>
      </c>
      <c r="G89" s="2"/>
      <c r="H89" s="2"/>
      <c r="I89" s="4" t="s">
        <v>252</v>
      </c>
    </row>
    <row r="90" spans="1:12" x14ac:dyDescent="0.45">
      <c r="A90" t="s">
        <v>46</v>
      </c>
      <c r="B90" s="4" t="s">
        <v>253</v>
      </c>
      <c r="C90" s="4" t="s">
        <v>254</v>
      </c>
      <c r="E90" t="s">
        <v>23</v>
      </c>
      <c r="F90" s="2">
        <v>46301</v>
      </c>
      <c r="G90" s="2"/>
      <c r="H90" s="2"/>
      <c r="I90" s="4" t="s">
        <v>255</v>
      </c>
    </row>
    <row r="91" spans="1:12" x14ac:dyDescent="0.45">
      <c r="A91" t="s">
        <v>19</v>
      </c>
      <c r="B91" s="4" t="s">
        <v>256</v>
      </c>
      <c r="C91" s="4" t="s">
        <v>257</v>
      </c>
      <c r="E91" t="s">
        <v>23</v>
      </c>
      <c r="F91" s="2">
        <v>46301</v>
      </c>
      <c r="G91" s="2"/>
      <c r="H91" s="2"/>
      <c r="I91" s="4" t="s">
        <v>258</v>
      </c>
    </row>
    <row r="92" spans="1:12" x14ac:dyDescent="0.45">
      <c r="A92" t="s">
        <v>19</v>
      </c>
      <c r="B92" t="s">
        <v>213</v>
      </c>
      <c r="C92" t="s">
        <v>259</v>
      </c>
      <c r="D92" t="s">
        <v>57</v>
      </c>
      <c r="E92" t="s">
        <v>23</v>
      </c>
      <c r="F92" s="2">
        <v>46301</v>
      </c>
      <c r="G92" s="2"/>
      <c r="H92" s="2"/>
      <c r="I92" s="4" t="s">
        <v>260</v>
      </c>
      <c r="J92" t="s">
        <v>25</v>
      </c>
      <c r="L92" t="s">
        <v>27</v>
      </c>
    </row>
    <row r="93" spans="1:12" x14ac:dyDescent="0.45">
      <c r="A93" t="s">
        <v>19</v>
      </c>
      <c r="B93" t="s">
        <v>213</v>
      </c>
      <c r="C93" t="s">
        <v>261</v>
      </c>
      <c r="D93" t="s">
        <v>57</v>
      </c>
      <c r="E93" t="s">
        <v>23</v>
      </c>
      <c r="F93" s="2">
        <v>46301</v>
      </c>
      <c r="G93" s="2"/>
      <c r="H93" s="2"/>
      <c r="I93" s="4" t="s">
        <v>260</v>
      </c>
      <c r="J93" t="s">
        <v>25</v>
      </c>
      <c r="L93" t="s">
        <v>27</v>
      </c>
    </row>
    <row r="94" spans="1:12" x14ac:dyDescent="0.45">
      <c r="A94" t="s">
        <v>19</v>
      </c>
      <c r="B94" t="s">
        <v>213</v>
      </c>
      <c r="C94" t="s">
        <v>262</v>
      </c>
      <c r="D94" t="s">
        <v>57</v>
      </c>
      <c r="E94" t="s">
        <v>23</v>
      </c>
      <c r="F94" s="2">
        <v>46301</v>
      </c>
      <c r="G94" s="2"/>
      <c r="H94" s="2"/>
      <c r="I94" s="4" t="s">
        <v>260</v>
      </c>
      <c r="J94" t="s">
        <v>25</v>
      </c>
      <c r="L94" t="s">
        <v>27</v>
      </c>
    </row>
    <row r="95" spans="1:12" x14ac:dyDescent="0.45">
      <c r="A95" t="s">
        <v>19</v>
      </c>
      <c r="B95" t="s">
        <v>179</v>
      </c>
      <c r="C95" t="s">
        <v>180</v>
      </c>
      <c r="D95" t="s">
        <v>57</v>
      </c>
      <c r="E95" t="s">
        <v>23</v>
      </c>
      <c r="F95" s="2">
        <v>46301</v>
      </c>
      <c r="G95" s="2"/>
      <c r="H95" s="2"/>
      <c r="I95" s="4" t="s">
        <v>263</v>
      </c>
      <c r="J95" t="s">
        <v>25</v>
      </c>
      <c r="L95" t="s">
        <v>27</v>
      </c>
    </row>
    <row r="96" spans="1:12" x14ac:dyDescent="0.45">
      <c r="A96" t="s">
        <v>19</v>
      </c>
      <c r="B96" t="s">
        <v>264</v>
      </c>
      <c r="C96" t="s">
        <v>265</v>
      </c>
      <c r="D96" t="s">
        <v>57</v>
      </c>
      <c r="E96" t="s">
        <v>266</v>
      </c>
      <c r="F96" s="2">
        <v>46301</v>
      </c>
      <c r="G96" s="2">
        <v>46274</v>
      </c>
      <c r="H96" s="2"/>
      <c r="I96" t="s">
        <v>267</v>
      </c>
      <c r="J96" t="s">
        <v>25</v>
      </c>
      <c r="L96" t="s">
        <v>27</v>
      </c>
    </row>
    <row r="97" spans="1:12" x14ac:dyDescent="0.45">
      <c r="A97" t="s">
        <v>19</v>
      </c>
      <c r="B97" t="s">
        <v>264</v>
      </c>
      <c r="C97" t="s">
        <v>268</v>
      </c>
      <c r="D97" t="s">
        <v>57</v>
      </c>
      <c r="E97" t="s">
        <v>266</v>
      </c>
      <c r="F97" s="2">
        <v>46301</v>
      </c>
      <c r="G97" s="2">
        <v>46274</v>
      </c>
      <c r="H97" s="2"/>
      <c r="I97" t="s">
        <v>269</v>
      </c>
      <c r="J97" t="s">
        <v>25</v>
      </c>
      <c r="L97" t="s">
        <v>27</v>
      </c>
    </row>
    <row r="98" spans="1:12" x14ac:dyDescent="0.45">
      <c r="A98" t="s">
        <v>19</v>
      </c>
      <c r="B98" t="s">
        <v>264</v>
      </c>
      <c r="C98" t="s">
        <v>270</v>
      </c>
      <c r="D98" t="s">
        <v>57</v>
      </c>
      <c r="E98" t="s">
        <v>266</v>
      </c>
      <c r="F98" s="2">
        <v>46301</v>
      </c>
      <c r="G98" s="2">
        <v>46274</v>
      </c>
      <c r="H98" s="2"/>
      <c r="I98" t="s">
        <v>271</v>
      </c>
      <c r="J98" t="s">
        <v>25</v>
      </c>
      <c r="L98" t="s">
        <v>27</v>
      </c>
    </row>
    <row r="99" spans="1:12" x14ac:dyDescent="0.45">
      <c r="A99" t="s">
        <v>19</v>
      </c>
      <c r="B99" t="s">
        <v>264</v>
      </c>
      <c r="C99" t="s">
        <v>272</v>
      </c>
      <c r="D99" t="s">
        <v>57</v>
      </c>
      <c r="E99" t="s">
        <v>266</v>
      </c>
      <c r="F99" s="2">
        <v>46301</v>
      </c>
      <c r="G99" s="2">
        <v>46274</v>
      </c>
      <c r="H99" s="2"/>
      <c r="I99" s="4" t="s">
        <v>273</v>
      </c>
      <c r="J99" t="s">
        <v>25</v>
      </c>
      <c r="L99" t="s">
        <v>27</v>
      </c>
    </row>
    <row r="100" spans="1:12" x14ac:dyDescent="0.45">
      <c r="A100" t="s">
        <v>99</v>
      </c>
      <c r="B100" t="s">
        <v>264</v>
      </c>
      <c r="C100" t="s">
        <v>274</v>
      </c>
      <c r="D100" t="s">
        <v>57</v>
      </c>
      <c r="E100" t="s">
        <v>266</v>
      </c>
      <c r="F100" s="2">
        <v>46301</v>
      </c>
      <c r="G100" s="2">
        <v>46274</v>
      </c>
      <c r="H100" s="2"/>
      <c r="I100" t="s">
        <v>275</v>
      </c>
      <c r="J100" t="s">
        <v>25</v>
      </c>
      <c r="L100" t="s">
        <v>27</v>
      </c>
    </row>
    <row r="101" spans="1:12" x14ac:dyDescent="0.45">
      <c r="A101" t="s">
        <v>19</v>
      </c>
      <c r="B101" t="s">
        <v>264</v>
      </c>
      <c r="C101" t="s">
        <v>276</v>
      </c>
      <c r="D101" t="s">
        <v>57</v>
      </c>
      <c r="E101" t="s">
        <v>266</v>
      </c>
      <c r="F101" s="2">
        <v>46301</v>
      </c>
      <c r="G101" s="2">
        <v>46274</v>
      </c>
      <c r="H101" s="2"/>
      <c r="I101" t="s">
        <v>277</v>
      </c>
      <c r="J101" t="s">
        <v>25</v>
      </c>
      <c r="L101" t="s">
        <v>27</v>
      </c>
    </row>
    <row r="102" spans="1:12" x14ac:dyDescent="0.45">
      <c r="A102" t="s">
        <v>19</v>
      </c>
      <c r="B102" t="s">
        <v>264</v>
      </c>
      <c r="C102" t="s">
        <v>278</v>
      </c>
      <c r="D102" t="s">
        <v>57</v>
      </c>
      <c r="E102" t="s">
        <v>266</v>
      </c>
      <c r="F102" s="2">
        <v>46301</v>
      </c>
      <c r="G102" s="2">
        <v>46275</v>
      </c>
      <c r="H102" s="2"/>
      <c r="I102" s="4" t="s">
        <v>279</v>
      </c>
      <c r="J102" t="s">
        <v>25</v>
      </c>
      <c r="L102" t="s">
        <v>27</v>
      </c>
    </row>
    <row r="103" spans="1:12" x14ac:dyDescent="0.45">
      <c r="A103" t="s">
        <v>19</v>
      </c>
      <c r="B103" t="s">
        <v>264</v>
      </c>
      <c r="C103" t="s">
        <v>280</v>
      </c>
      <c r="D103" t="s">
        <v>57</v>
      </c>
      <c r="E103" t="s">
        <v>266</v>
      </c>
      <c r="F103" s="2">
        <v>46301</v>
      </c>
      <c r="G103" s="2">
        <v>46275</v>
      </c>
      <c r="H103" s="2"/>
      <c r="I103" t="s">
        <v>281</v>
      </c>
      <c r="J103" t="s">
        <v>25</v>
      </c>
      <c r="L103" t="s">
        <v>27</v>
      </c>
    </row>
    <row r="104" spans="1:12" x14ac:dyDescent="0.45">
      <c r="A104" t="s">
        <v>19</v>
      </c>
      <c r="B104" t="s">
        <v>264</v>
      </c>
      <c r="C104" t="s">
        <v>282</v>
      </c>
      <c r="D104" t="s">
        <v>57</v>
      </c>
      <c r="E104" t="s">
        <v>266</v>
      </c>
      <c r="F104" s="2">
        <v>46301</v>
      </c>
      <c r="G104" s="2">
        <v>46275</v>
      </c>
      <c r="H104" s="2"/>
      <c r="I104" t="s">
        <v>283</v>
      </c>
      <c r="J104" t="s">
        <v>25</v>
      </c>
      <c r="L104" t="s">
        <v>27</v>
      </c>
    </row>
    <row r="105" spans="1:12" x14ac:dyDescent="0.45">
      <c r="A105" t="s">
        <v>19</v>
      </c>
      <c r="B105" t="s">
        <v>264</v>
      </c>
      <c r="C105" t="s">
        <v>284</v>
      </c>
      <c r="D105" t="s">
        <v>57</v>
      </c>
      <c r="E105" t="s">
        <v>266</v>
      </c>
      <c r="F105" s="2">
        <v>46301</v>
      </c>
      <c r="G105" s="2">
        <v>46275</v>
      </c>
      <c r="H105" s="2"/>
      <c r="I105" t="s">
        <v>285</v>
      </c>
      <c r="J105" t="s">
        <v>25</v>
      </c>
      <c r="L105" t="s">
        <v>27</v>
      </c>
    </row>
    <row r="106" spans="1:12" x14ac:dyDescent="0.45">
      <c r="A106" t="s">
        <v>19</v>
      </c>
      <c r="B106" t="s">
        <v>264</v>
      </c>
      <c r="C106" t="s">
        <v>282</v>
      </c>
      <c r="D106" t="s">
        <v>57</v>
      </c>
      <c r="E106" t="s">
        <v>266</v>
      </c>
      <c r="F106" s="2">
        <v>46301</v>
      </c>
      <c r="G106" s="2">
        <v>46275</v>
      </c>
      <c r="H106" s="2"/>
      <c r="I106" t="s">
        <v>286</v>
      </c>
      <c r="J106" t="s">
        <v>25</v>
      </c>
      <c r="L106" t="s">
        <v>27</v>
      </c>
    </row>
    <row r="107" spans="1:12" x14ac:dyDescent="0.45">
      <c r="A107" t="s">
        <v>19</v>
      </c>
      <c r="B107" t="s">
        <v>264</v>
      </c>
      <c r="C107" t="s">
        <v>287</v>
      </c>
      <c r="D107" t="s">
        <v>57</v>
      </c>
      <c r="E107" t="s">
        <v>266</v>
      </c>
      <c r="F107" s="2">
        <v>46301</v>
      </c>
      <c r="G107" s="2">
        <v>46275</v>
      </c>
      <c r="H107" s="2"/>
      <c r="I107" t="s">
        <v>288</v>
      </c>
      <c r="J107" t="s">
        <v>25</v>
      </c>
      <c r="L107" t="s">
        <v>27</v>
      </c>
    </row>
    <row r="108" spans="1:12" x14ac:dyDescent="0.45">
      <c r="A108" t="s">
        <v>19</v>
      </c>
      <c r="B108" t="s">
        <v>264</v>
      </c>
      <c r="C108" t="s">
        <v>289</v>
      </c>
      <c r="D108" t="s">
        <v>57</v>
      </c>
      <c r="E108" t="s">
        <v>266</v>
      </c>
      <c r="F108" s="2">
        <v>46301</v>
      </c>
      <c r="G108" s="2">
        <v>46275</v>
      </c>
      <c r="H108" s="2"/>
      <c r="I108" s="4" t="s">
        <v>290</v>
      </c>
      <c r="J108" t="s">
        <v>25</v>
      </c>
      <c r="L108" t="s">
        <v>27</v>
      </c>
    </row>
    <row r="109" spans="1:12" x14ac:dyDescent="0.45">
      <c r="A109" t="s">
        <v>19</v>
      </c>
      <c r="B109" t="s">
        <v>264</v>
      </c>
      <c r="C109" t="s">
        <v>291</v>
      </c>
      <c r="D109" t="s">
        <v>57</v>
      </c>
      <c r="E109" t="s">
        <v>266</v>
      </c>
      <c r="F109" s="2">
        <v>46301</v>
      </c>
      <c r="G109" s="2">
        <v>46275</v>
      </c>
      <c r="H109" s="2"/>
      <c r="I109" t="s">
        <v>292</v>
      </c>
      <c r="J109" t="s">
        <v>25</v>
      </c>
      <c r="L109" t="s">
        <v>27</v>
      </c>
    </row>
    <row r="110" spans="1:12" x14ac:dyDescent="0.45">
      <c r="A110" t="s">
        <v>19</v>
      </c>
      <c r="B110" t="s">
        <v>293</v>
      </c>
      <c r="C110" t="s">
        <v>294</v>
      </c>
      <c r="D110" t="s">
        <v>57</v>
      </c>
      <c r="E110" t="s">
        <v>295</v>
      </c>
      <c r="F110" s="2">
        <v>46301</v>
      </c>
      <c r="G110" s="2">
        <v>46275</v>
      </c>
      <c r="H110" s="2"/>
      <c r="I110" s="4" t="s">
        <v>296</v>
      </c>
      <c r="L110" t="s">
        <v>297</v>
      </c>
    </row>
    <row r="111" spans="1:12" x14ac:dyDescent="0.45">
      <c r="A111" t="s">
        <v>19</v>
      </c>
      <c r="B111" t="s">
        <v>298</v>
      </c>
      <c r="C111" t="s">
        <v>299</v>
      </c>
      <c r="D111" t="s">
        <v>57</v>
      </c>
      <c r="E111" t="s">
        <v>300</v>
      </c>
      <c r="F111" s="2">
        <v>46301</v>
      </c>
      <c r="G111" s="2">
        <v>46275</v>
      </c>
      <c r="H111" s="2"/>
      <c r="I111" s="4" t="s">
        <v>301</v>
      </c>
    </row>
    <row r="112" spans="1:12" x14ac:dyDescent="0.45">
      <c r="A112" t="s">
        <v>79</v>
      </c>
      <c r="B112" t="s">
        <v>298</v>
      </c>
      <c r="C112" t="s">
        <v>302</v>
      </c>
      <c r="D112" t="s">
        <v>57</v>
      </c>
      <c r="E112" t="s">
        <v>128</v>
      </c>
      <c r="F112" s="2">
        <v>46301</v>
      </c>
      <c r="G112" s="2"/>
      <c r="H112" s="2"/>
      <c r="I112" s="4" t="s">
        <v>303</v>
      </c>
    </row>
    <row r="113" spans="1:9" x14ac:dyDescent="0.45">
      <c r="A113" t="s">
        <v>79</v>
      </c>
      <c r="B113" t="s">
        <v>298</v>
      </c>
      <c r="C113" t="s">
        <v>304</v>
      </c>
      <c r="D113" t="s">
        <v>57</v>
      </c>
      <c r="E113" t="s">
        <v>300</v>
      </c>
      <c r="F113" s="2">
        <v>46301</v>
      </c>
      <c r="G113" s="2"/>
      <c r="H113" s="2"/>
      <c r="I113" s="4" t="s">
        <v>305</v>
      </c>
    </row>
    <row r="114" spans="1:9" x14ac:dyDescent="0.45">
      <c r="A114" t="s">
        <v>79</v>
      </c>
      <c r="B114" t="s">
        <v>298</v>
      </c>
      <c r="C114" t="s">
        <v>306</v>
      </c>
      <c r="D114" t="s">
        <v>57</v>
      </c>
      <c r="E114" t="s">
        <v>300</v>
      </c>
      <c r="F114" s="2">
        <v>46301</v>
      </c>
      <c r="G114" s="2"/>
      <c r="H114" s="2"/>
      <c r="I114" s="4" t="s">
        <v>307</v>
      </c>
    </row>
    <row r="115" spans="1:9" x14ac:dyDescent="0.45">
      <c r="A115" t="s">
        <v>79</v>
      </c>
      <c r="B115" t="s">
        <v>298</v>
      </c>
      <c r="C115" t="s">
        <v>308</v>
      </c>
      <c r="D115" t="s">
        <v>57</v>
      </c>
      <c r="E115" t="s">
        <v>300</v>
      </c>
      <c r="F115" s="2">
        <v>46301</v>
      </c>
      <c r="G115" s="2"/>
      <c r="H115" s="2"/>
      <c r="I115" s="4" t="s">
        <v>309</v>
      </c>
    </row>
    <row r="116" spans="1:9" x14ac:dyDescent="0.45">
      <c r="A116" t="s">
        <v>79</v>
      </c>
      <c r="B116" t="s">
        <v>298</v>
      </c>
      <c r="C116" t="s">
        <v>310</v>
      </c>
      <c r="D116" t="s">
        <v>57</v>
      </c>
      <c r="E116" t="s">
        <v>45</v>
      </c>
      <c r="F116" s="2">
        <v>46301</v>
      </c>
      <c r="G116" s="2"/>
      <c r="H116" s="2"/>
      <c r="I116" s="4" t="s">
        <v>311</v>
      </c>
    </row>
    <row r="117" spans="1:9" x14ac:dyDescent="0.45">
      <c r="A117" t="s">
        <v>99</v>
      </c>
      <c r="B117" t="s">
        <v>298</v>
      </c>
      <c r="C117" t="s">
        <v>310</v>
      </c>
      <c r="D117" t="s">
        <v>57</v>
      </c>
      <c r="E117" t="s">
        <v>23</v>
      </c>
      <c r="F117" s="2">
        <v>46301</v>
      </c>
      <c r="G117" s="2">
        <v>46275</v>
      </c>
      <c r="H117" s="2"/>
      <c r="I117" s="4" t="s">
        <v>311</v>
      </c>
    </row>
    <row r="118" spans="1:9" x14ac:dyDescent="0.45">
      <c r="A118" t="s">
        <v>19</v>
      </c>
      <c r="B118" t="s">
        <v>298</v>
      </c>
      <c r="C118" t="s">
        <v>312</v>
      </c>
      <c r="D118" t="s">
        <v>57</v>
      </c>
      <c r="E118" t="s">
        <v>23</v>
      </c>
      <c r="F118" s="2">
        <v>46301</v>
      </c>
      <c r="G118" s="2">
        <v>46275</v>
      </c>
      <c r="H118" s="2"/>
      <c r="I118" s="4" t="s">
        <v>313</v>
      </c>
    </row>
    <row r="119" spans="1:9" x14ac:dyDescent="0.45">
      <c r="A119" t="s">
        <v>79</v>
      </c>
      <c r="B119" t="s">
        <v>298</v>
      </c>
      <c r="C119" t="s">
        <v>314</v>
      </c>
      <c r="D119" t="s">
        <v>57</v>
      </c>
      <c r="E119" t="s">
        <v>300</v>
      </c>
      <c r="F119" s="2">
        <v>46301</v>
      </c>
      <c r="G119" s="2"/>
      <c r="H119" s="2"/>
      <c r="I119" s="4" t="s">
        <v>315</v>
      </c>
    </row>
    <row r="120" spans="1:9" x14ac:dyDescent="0.45">
      <c r="A120" t="s">
        <v>79</v>
      </c>
      <c r="B120" t="s">
        <v>298</v>
      </c>
      <c r="C120" t="s">
        <v>316</v>
      </c>
      <c r="D120" t="s">
        <v>57</v>
      </c>
      <c r="E120" t="s">
        <v>300</v>
      </c>
      <c r="F120" s="2">
        <v>46301</v>
      </c>
      <c r="G120" s="2"/>
      <c r="H120" s="2"/>
      <c r="I120" s="4" t="s">
        <v>317</v>
      </c>
    </row>
    <row r="121" spans="1:9" x14ac:dyDescent="0.45">
      <c r="A121" t="s">
        <v>79</v>
      </c>
      <c r="B121" t="s">
        <v>298</v>
      </c>
      <c r="C121" t="s">
        <v>318</v>
      </c>
      <c r="D121" t="s">
        <v>57</v>
      </c>
      <c r="E121" t="s">
        <v>319</v>
      </c>
      <c r="F121" s="2">
        <v>46301</v>
      </c>
      <c r="G121" s="2"/>
      <c r="H121" s="2"/>
      <c r="I121" s="4" t="s">
        <v>320</v>
      </c>
    </row>
    <row r="122" spans="1:9" x14ac:dyDescent="0.45">
      <c r="A122" t="s">
        <v>79</v>
      </c>
      <c r="B122" t="s">
        <v>298</v>
      </c>
      <c r="C122" t="s">
        <v>318</v>
      </c>
      <c r="D122" t="s">
        <v>57</v>
      </c>
      <c r="E122" t="s">
        <v>128</v>
      </c>
      <c r="F122" s="2">
        <v>46301</v>
      </c>
      <c r="G122" s="2"/>
      <c r="H122" s="2"/>
      <c r="I122" s="4" t="s">
        <v>320</v>
      </c>
    </row>
    <row r="123" spans="1:9" x14ac:dyDescent="0.45">
      <c r="A123" t="s">
        <v>19</v>
      </c>
      <c r="B123" t="s">
        <v>321</v>
      </c>
      <c r="C123" t="s">
        <v>322</v>
      </c>
      <c r="D123" t="s">
        <v>44</v>
      </c>
      <c r="E123" t="s">
        <v>323</v>
      </c>
      <c r="F123" s="2">
        <v>46301</v>
      </c>
      <c r="G123" s="2"/>
      <c r="H123" s="2"/>
      <c r="I123" s="4" t="s">
        <v>324</v>
      </c>
    </row>
    <row r="124" spans="1:9" x14ac:dyDescent="0.45">
      <c r="A124" t="s">
        <v>19</v>
      </c>
      <c r="B124" t="s">
        <v>321</v>
      </c>
      <c r="C124" t="s">
        <v>325</v>
      </c>
      <c r="D124" t="s">
        <v>44</v>
      </c>
      <c r="E124" t="s">
        <v>23</v>
      </c>
      <c r="F124" s="2">
        <v>46301</v>
      </c>
      <c r="G124" s="2"/>
      <c r="H124" s="2"/>
      <c r="I124" s="4" t="s">
        <v>326</v>
      </c>
    </row>
    <row r="125" spans="1:9" x14ac:dyDescent="0.45">
      <c r="A125" t="s">
        <v>19</v>
      </c>
      <c r="B125" t="s">
        <v>321</v>
      </c>
      <c r="C125" t="s">
        <v>327</v>
      </c>
      <c r="D125" t="s">
        <v>44</v>
      </c>
      <c r="E125" t="s">
        <v>23</v>
      </c>
      <c r="F125" s="2">
        <v>46301</v>
      </c>
      <c r="G125" s="2"/>
      <c r="H125" s="2"/>
      <c r="I125" s="4" t="s">
        <v>328</v>
      </c>
    </row>
    <row r="126" spans="1:9" x14ac:dyDescent="0.45">
      <c r="A126" t="s">
        <v>19</v>
      </c>
      <c r="B126" t="s">
        <v>321</v>
      </c>
      <c r="C126" t="s">
        <v>329</v>
      </c>
      <c r="D126" t="s">
        <v>44</v>
      </c>
      <c r="E126" t="s">
        <v>23</v>
      </c>
      <c r="F126" s="2">
        <v>46301</v>
      </c>
      <c r="G126" s="2"/>
      <c r="H126" s="2"/>
      <c r="I126" s="4" t="s">
        <v>330</v>
      </c>
    </row>
    <row r="127" spans="1:9" x14ac:dyDescent="0.45">
      <c r="A127" t="s">
        <v>46</v>
      </c>
      <c r="B127" t="s">
        <v>216</v>
      </c>
      <c r="C127" t="s">
        <v>331</v>
      </c>
      <c r="D127" t="s">
        <v>57</v>
      </c>
      <c r="E127" t="s">
        <v>63</v>
      </c>
      <c r="F127" s="2">
        <v>46301</v>
      </c>
      <c r="G127" s="2"/>
      <c r="H127" s="2"/>
      <c r="I127" s="4" t="s">
        <v>332</v>
      </c>
    </row>
    <row r="128" spans="1:9" x14ac:dyDescent="0.45">
      <c r="A128" t="s">
        <v>46</v>
      </c>
      <c r="B128" t="s">
        <v>216</v>
      </c>
      <c r="C128" t="s">
        <v>333</v>
      </c>
      <c r="D128" t="s">
        <v>57</v>
      </c>
      <c r="E128" t="s">
        <v>63</v>
      </c>
      <c r="F128" s="2">
        <v>46301</v>
      </c>
      <c r="G128" s="2"/>
      <c r="H128" s="2"/>
      <c r="I128" s="4" t="s">
        <v>334</v>
      </c>
    </row>
    <row r="129" spans="1:9" x14ac:dyDescent="0.45">
      <c r="A129" t="s">
        <v>46</v>
      </c>
      <c r="B129" t="s">
        <v>216</v>
      </c>
      <c r="C129" t="s">
        <v>335</v>
      </c>
      <c r="D129" t="s">
        <v>57</v>
      </c>
      <c r="E129" t="s">
        <v>23</v>
      </c>
      <c r="F129" s="2">
        <v>46301</v>
      </c>
      <c r="G129" s="2"/>
      <c r="H129" s="2"/>
      <c r="I129" s="4" t="s">
        <v>336</v>
      </c>
    </row>
    <row r="130" spans="1:9" x14ac:dyDescent="0.45">
      <c r="A130" t="s">
        <v>79</v>
      </c>
      <c r="B130" t="s">
        <v>216</v>
      </c>
      <c r="C130" s="4" t="s">
        <v>337</v>
      </c>
      <c r="E130" t="s">
        <v>82</v>
      </c>
      <c r="F130" s="2">
        <v>46301</v>
      </c>
      <c r="G130" s="2"/>
      <c r="H130" s="2"/>
      <c r="I130" s="4" t="s">
        <v>337</v>
      </c>
    </row>
    <row r="131" spans="1:9" x14ac:dyDescent="0.45">
      <c r="A131" t="s">
        <v>79</v>
      </c>
      <c r="B131" t="s">
        <v>216</v>
      </c>
      <c r="C131" s="4" t="s">
        <v>338</v>
      </c>
      <c r="D131" t="s">
        <v>57</v>
      </c>
      <c r="E131" t="s">
        <v>63</v>
      </c>
      <c r="F131" s="2">
        <v>46301</v>
      </c>
      <c r="G131" s="2"/>
      <c r="H131" s="2"/>
      <c r="I131" s="4" t="s">
        <v>338</v>
      </c>
    </row>
    <row r="132" spans="1:9" x14ac:dyDescent="0.45">
      <c r="A132" t="s">
        <v>79</v>
      </c>
      <c r="B132" t="s">
        <v>216</v>
      </c>
      <c r="C132" s="4" t="s">
        <v>339</v>
      </c>
      <c r="D132" t="s">
        <v>340</v>
      </c>
      <c r="E132" t="s">
        <v>341</v>
      </c>
      <c r="F132" s="2">
        <v>46301</v>
      </c>
      <c r="G132" s="2"/>
      <c r="H132" s="2"/>
      <c r="I132" s="4" t="s">
        <v>339</v>
      </c>
    </row>
    <row r="133" spans="1:9" x14ac:dyDescent="0.45">
      <c r="A133" t="s">
        <v>79</v>
      </c>
      <c r="B133" t="s">
        <v>216</v>
      </c>
      <c r="C133" s="4" t="s">
        <v>342</v>
      </c>
      <c r="D133" t="s">
        <v>340</v>
      </c>
      <c r="E133" t="s">
        <v>82</v>
      </c>
      <c r="F133" s="2">
        <v>46301</v>
      </c>
      <c r="G133" s="2"/>
      <c r="H133" s="2"/>
      <c r="I133" s="4" t="s">
        <v>342</v>
      </c>
    </row>
    <row r="134" spans="1:9" x14ac:dyDescent="0.45">
      <c r="A134" t="s">
        <v>79</v>
      </c>
      <c r="B134" t="s">
        <v>216</v>
      </c>
      <c r="C134" s="4" t="s">
        <v>343</v>
      </c>
      <c r="D134" t="s">
        <v>44</v>
      </c>
      <c r="E134" t="s">
        <v>344</v>
      </c>
      <c r="F134" s="2">
        <v>46301</v>
      </c>
      <c r="G134" s="2"/>
      <c r="H134" s="2"/>
      <c r="I134" s="4" t="s">
        <v>343</v>
      </c>
    </row>
    <row r="135" spans="1:9" x14ac:dyDescent="0.45">
      <c r="A135" t="s">
        <v>79</v>
      </c>
      <c r="B135" t="s">
        <v>216</v>
      </c>
      <c r="C135" s="4" t="s">
        <v>345</v>
      </c>
      <c r="D135" t="s">
        <v>44</v>
      </c>
      <c r="E135" t="s">
        <v>346</v>
      </c>
      <c r="F135" s="2">
        <v>46301</v>
      </c>
      <c r="G135" s="2"/>
      <c r="H135" s="2"/>
      <c r="I135" s="4" t="s">
        <v>345</v>
      </c>
    </row>
    <row r="136" spans="1:9" x14ac:dyDescent="0.45">
      <c r="A136" t="s">
        <v>79</v>
      </c>
      <c r="B136" t="s">
        <v>216</v>
      </c>
      <c r="C136" s="4" t="s">
        <v>347</v>
      </c>
      <c r="D136" t="s">
        <v>44</v>
      </c>
      <c r="E136" t="s">
        <v>344</v>
      </c>
      <c r="F136" s="2">
        <v>46301</v>
      </c>
      <c r="G136" s="2"/>
      <c r="H136" s="2"/>
      <c r="I136" s="4" t="s">
        <v>347</v>
      </c>
    </row>
    <row r="137" spans="1:9" x14ac:dyDescent="0.45">
      <c r="A137" t="s">
        <v>79</v>
      </c>
      <c r="B137" t="s">
        <v>216</v>
      </c>
      <c r="C137" s="4" t="s">
        <v>348</v>
      </c>
      <c r="D137" t="s">
        <v>44</v>
      </c>
      <c r="E137" t="s">
        <v>349</v>
      </c>
      <c r="F137" s="2">
        <v>46301</v>
      </c>
      <c r="G137" s="2"/>
      <c r="H137" s="2"/>
      <c r="I137" s="4" t="s">
        <v>348</v>
      </c>
    </row>
    <row r="138" spans="1:9" x14ac:dyDescent="0.45">
      <c r="A138" t="s">
        <v>79</v>
      </c>
      <c r="B138" t="s">
        <v>216</v>
      </c>
      <c r="C138" s="4" t="s">
        <v>350</v>
      </c>
      <c r="D138" t="s">
        <v>44</v>
      </c>
      <c r="E138" t="s">
        <v>351</v>
      </c>
      <c r="F138" s="2">
        <v>46301</v>
      </c>
      <c r="G138" s="2"/>
      <c r="H138" s="2"/>
      <c r="I138" s="4" t="s">
        <v>350</v>
      </c>
    </row>
    <row r="139" spans="1:9" x14ac:dyDescent="0.45">
      <c r="A139" t="s">
        <v>79</v>
      </c>
      <c r="B139" t="s">
        <v>216</v>
      </c>
      <c r="C139" s="4" t="s">
        <v>352</v>
      </c>
      <c r="D139" t="s">
        <v>44</v>
      </c>
      <c r="E139" t="s">
        <v>351</v>
      </c>
      <c r="F139" s="2">
        <v>46301</v>
      </c>
      <c r="G139" s="2"/>
      <c r="H139" s="2"/>
      <c r="I139" s="4" t="s">
        <v>352</v>
      </c>
    </row>
    <row r="140" spans="1:9" x14ac:dyDescent="0.45">
      <c r="A140" t="s">
        <v>79</v>
      </c>
      <c r="B140" t="s">
        <v>216</v>
      </c>
      <c r="C140" s="4" t="s">
        <v>353</v>
      </c>
      <c r="D140" t="s">
        <v>44</v>
      </c>
      <c r="E140" t="s">
        <v>354</v>
      </c>
      <c r="F140" s="2">
        <v>46301</v>
      </c>
      <c r="G140" s="2"/>
      <c r="H140" s="2"/>
      <c r="I140" s="4" t="s">
        <v>353</v>
      </c>
    </row>
    <row r="141" spans="1:9" x14ac:dyDescent="0.45">
      <c r="A141" t="s">
        <v>79</v>
      </c>
      <c r="B141" t="s">
        <v>216</v>
      </c>
      <c r="C141" s="4" t="s">
        <v>355</v>
      </c>
      <c r="D141" t="s">
        <v>44</v>
      </c>
      <c r="E141" t="s">
        <v>82</v>
      </c>
      <c r="F141" s="2">
        <v>46301</v>
      </c>
      <c r="G141" s="2"/>
      <c r="H141" s="2"/>
      <c r="I141" s="4" t="s">
        <v>355</v>
      </c>
    </row>
    <row r="142" spans="1:9" x14ac:dyDescent="0.45">
      <c r="A142" t="s">
        <v>79</v>
      </c>
      <c r="B142" t="s">
        <v>216</v>
      </c>
      <c r="C142" s="4" t="s">
        <v>356</v>
      </c>
      <c r="D142" t="s">
        <v>44</v>
      </c>
      <c r="E142" t="s">
        <v>357</v>
      </c>
      <c r="F142" s="2">
        <v>46301</v>
      </c>
      <c r="G142" s="2"/>
      <c r="H142" s="2"/>
      <c r="I142" s="4" t="s">
        <v>356</v>
      </c>
    </row>
    <row r="143" spans="1:9" x14ac:dyDescent="0.45">
      <c r="A143" t="s">
        <v>79</v>
      </c>
      <c r="B143" t="s">
        <v>216</v>
      </c>
      <c r="C143" s="4" t="s">
        <v>358</v>
      </c>
      <c r="D143" t="s">
        <v>44</v>
      </c>
      <c r="E143" t="s">
        <v>266</v>
      </c>
      <c r="F143" s="2">
        <v>46301</v>
      </c>
      <c r="G143" s="2"/>
      <c r="H143" s="2"/>
      <c r="I143" s="4" t="s">
        <v>358</v>
      </c>
    </row>
    <row r="144" spans="1:9" x14ac:dyDescent="0.45">
      <c r="A144" t="s">
        <v>79</v>
      </c>
      <c r="B144" t="s">
        <v>216</v>
      </c>
      <c r="C144" s="4" t="s">
        <v>359</v>
      </c>
      <c r="D144" t="s">
        <v>44</v>
      </c>
      <c r="E144" t="s">
        <v>351</v>
      </c>
      <c r="F144" s="2">
        <v>46301</v>
      </c>
      <c r="G144" s="2"/>
      <c r="H144" s="2"/>
      <c r="I144" s="4" t="s">
        <v>359</v>
      </c>
    </row>
    <row r="145" spans="1:9" x14ac:dyDescent="0.45">
      <c r="A145" t="s">
        <v>79</v>
      </c>
      <c r="B145" t="s">
        <v>216</v>
      </c>
      <c r="C145" s="4" t="s">
        <v>360</v>
      </c>
      <c r="D145" t="s">
        <v>44</v>
      </c>
      <c r="E145" t="s">
        <v>63</v>
      </c>
      <c r="F145" s="2">
        <v>46301</v>
      </c>
      <c r="G145" s="2"/>
      <c r="H145" s="2"/>
      <c r="I145" s="4" t="s">
        <v>360</v>
      </c>
    </row>
    <row r="146" spans="1:9" x14ac:dyDescent="0.45">
      <c r="A146" t="s">
        <v>79</v>
      </c>
      <c r="B146" t="s">
        <v>216</v>
      </c>
      <c r="C146" s="4" t="s">
        <v>361</v>
      </c>
      <c r="D146" t="s">
        <v>44</v>
      </c>
      <c r="E146" t="s">
        <v>362</v>
      </c>
      <c r="F146" s="2">
        <v>46301</v>
      </c>
      <c r="G146" s="2"/>
      <c r="H146" s="2"/>
      <c r="I146" s="4" t="s">
        <v>361</v>
      </c>
    </row>
    <row r="147" spans="1:9" x14ac:dyDescent="0.45">
      <c r="A147" t="s">
        <v>79</v>
      </c>
      <c r="B147" t="s">
        <v>216</v>
      </c>
      <c r="C147" s="4" t="s">
        <v>363</v>
      </c>
      <c r="D147" t="s">
        <v>44</v>
      </c>
      <c r="E147" t="s">
        <v>63</v>
      </c>
      <c r="F147" s="2">
        <v>46301</v>
      </c>
      <c r="G147" s="2"/>
      <c r="H147" s="2"/>
      <c r="I147" s="4" t="s">
        <v>363</v>
      </c>
    </row>
    <row r="148" spans="1:9" x14ac:dyDescent="0.45">
      <c r="A148" t="s">
        <v>79</v>
      </c>
      <c r="B148" t="s">
        <v>216</v>
      </c>
      <c r="C148" s="4" t="s">
        <v>364</v>
      </c>
      <c r="D148" t="s">
        <v>44</v>
      </c>
      <c r="E148" t="s">
        <v>351</v>
      </c>
      <c r="F148" s="2">
        <v>46301</v>
      </c>
      <c r="G148" s="2"/>
      <c r="H148" s="2"/>
      <c r="I148" s="4" t="s">
        <v>364</v>
      </c>
    </row>
    <row r="149" spans="1:9" x14ac:dyDescent="0.45">
      <c r="A149" t="s">
        <v>79</v>
      </c>
      <c r="B149" t="s">
        <v>216</v>
      </c>
      <c r="C149" s="4" t="s">
        <v>365</v>
      </c>
      <c r="D149" t="s">
        <v>44</v>
      </c>
      <c r="E149" t="s">
        <v>366</v>
      </c>
      <c r="F149" s="2">
        <v>46301</v>
      </c>
      <c r="G149" s="2"/>
      <c r="H149" s="2"/>
      <c r="I149" s="4" t="s">
        <v>365</v>
      </c>
    </row>
    <row r="150" spans="1:9" x14ac:dyDescent="0.45">
      <c r="A150" t="s">
        <v>79</v>
      </c>
      <c r="B150" t="s">
        <v>216</v>
      </c>
      <c r="C150" s="4" t="s">
        <v>367</v>
      </c>
      <c r="D150" t="s">
        <v>44</v>
      </c>
      <c r="E150" t="s">
        <v>82</v>
      </c>
      <c r="F150" s="2">
        <v>46301</v>
      </c>
      <c r="G150" s="2"/>
      <c r="H150" s="2"/>
      <c r="I150" s="4" t="s">
        <v>367</v>
      </c>
    </row>
    <row r="151" spans="1:9" x14ac:dyDescent="0.45">
      <c r="A151" t="s">
        <v>79</v>
      </c>
      <c r="B151" t="s">
        <v>216</v>
      </c>
      <c r="C151" s="4" t="s">
        <v>368</v>
      </c>
      <c r="D151" t="s">
        <v>44</v>
      </c>
      <c r="E151" t="s">
        <v>341</v>
      </c>
      <c r="F151" s="2">
        <v>46301</v>
      </c>
      <c r="G151" s="2"/>
      <c r="H151" s="2"/>
      <c r="I151" s="4" t="s">
        <v>368</v>
      </c>
    </row>
    <row r="152" spans="1:9" x14ac:dyDescent="0.45">
      <c r="A152" t="s">
        <v>79</v>
      </c>
      <c r="B152" t="s">
        <v>216</v>
      </c>
      <c r="C152" s="4" t="s">
        <v>369</v>
      </c>
      <c r="D152" t="s">
        <v>44</v>
      </c>
      <c r="E152" t="s">
        <v>366</v>
      </c>
      <c r="F152" s="2">
        <v>46301</v>
      </c>
      <c r="G152" s="2"/>
      <c r="H152" s="2"/>
      <c r="I152" s="4" t="s">
        <v>369</v>
      </c>
    </row>
    <row r="153" spans="1:9" x14ac:dyDescent="0.45">
      <c r="A153" t="s">
        <v>79</v>
      </c>
      <c r="B153" t="s">
        <v>216</v>
      </c>
      <c r="C153" s="4" t="s">
        <v>370</v>
      </c>
      <c r="D153" t="s">
        <v>44</v>
      </c>
      <c r="E153" t="s">
        <v>371</v>
      </c>
      <c r="F153" s="2">
        <v>46301</v>
      </c>
      <c r="G153" s="2"/>
      <c r="H153" s="2"/>
      <c r="I153" s="4" t="s">
        <v>370</v>
      </c>
    </row>
    <row r="154" spans="1:9" x14ac:dyDescent="0.45">
      <c r="A154" t="s">
        <v>79</v>
      </c>
      <c r="B154" t="s">
        <v>216</v>
      </c>
      <c r="C154" s="4" t="s">
        <v>372</v>
      </c>
      <c r="D154" t="s">
        <v>44</v>
      </c>
      <c r="E154" t="s">
        <v>371</v>
      </c>
      <c r="F154" s="2">
        <v>46301</v>
      </c>
      <c r="G154" s="2"/>
      <c r="H154" s="2"/>
      <c r="I154" s="4" t="s">
        <v>372</v>
      </c>
    </row>
    <row r="155" spans="1:9" x14ac:dyDescent="0.45">
      <c r="A155" t="s">
        <v>79</v>
      </c>
      <c r="B155" t="s">
        <v>216</v>
      </c>
      <c r="C155" s="4" t="s">
        <v>373</v>
      </c>
      <c r="D155" t="s">
        <v>44</v>
      </c>
      <c r="E155" t="s">
        <v>371</v>
      </c>
      <c r="F155" s="2">
        <v>46301</v>
      </c>
      <c r="G155" s="2"/>
      <c r="H155" s="2"/>
      <c r="I155" s="4" t="s">
        <v>373</v>
      </c>
    </row>
    <row r="156" spans="1:9" x14ac:dyDescent="0.45">
      <c r="A156" t="s">
        <v>79</v>
      </c>
      <c r="B156" t="s">
        <v>216</v>
      </c>
      <c r="C156" s="4" t="s">
        <v>374</v>
      </c>
      <c r="D156" t="s">
        <v>44</v>
      </c>
      <c r="E156" t="s">
        <v>375</v>
      </c>
      <c r="F156" s="2">
        <v>46301</v>
      </c>
      <c r="G156" s="2"/>
      <c r="H156" s="2"/>
      <c r="I156" s="4" t="s">
        <v>374</v>
      </c>
    </row>
    <row r="157" spans="1:9" x14ac:dyDescent="0.45">
      <c r="A157" t="s">
        <v>79</v>
      </c>
      <c r="B157" t="s">
        <v>216</v>
      </c>
      <c r="C157" s="4" t="s">
        <v>376</v>
      </c>
      <c r="D157" t="s">
        <v>44</v>
      </c>
      <c r="E157" t="s">
        <v>377</v>
      </c>
      <c r="F157" s="2">
        <v>46301</v>
      </c>
      <c r="G157" s="2"/>
      <c r="H157" s="2"/>
      <c r="I157" s="4" t="s">
        <v>376</v>
      </c>
    </row>
    <row r="158" spans="1:9" x14ac:dyDescent="0.45">
      <c r="A158" t="s">
        <v>79</v>
      </c>
      <c r="B158" t="s">
        <v>216</v>
      </c>
      <c r="C158" s="4" t="s">
        <v>378</v>
      </c>
      <c r="D158" t="s">
        <v>44</v>
      </c>
      <c r="E158" t="s">
        <v>351</v>
      </c>
      <c r="F158" s="2">
        <v>46301</v>
      </c>
      <c r="G158" s="2"/>
      <c r="H158" s="2"/>
      <c r="I158" s="4" t="s">
        <v>378</v>
      </c>
    </row>
    <row r="159" spans="1:9" x14ac:dyDescent="0.45">
      <c r="A159" t="s">
        <v>79</v>
      </c>
      <c r="B159" t="s">
        <v>216</v>
      </c>
      <c r="C159" s="4" t="s">
        <v>379</v>
      </c>
      <c r="D159" t="s">
        <v>44</v>
      </c>
      <c r="E159" t="s">
        <v>366</v>
      </c>
      <c r="F159" s="2">
        <v>46301</v>
      </c>
      <c r="G159" s="2"/>
      <c r="H159" s="2"/>
      <c r="I159" s="4" t="s">
        <v>379</v>
      </c>
    </row>
    <row r="160" spans="1:9" x14ac:dyDescent="0.45">
      <c r="A160" t="s">
        <v>79</v>
      </c>
      <c r="B160" t="s">
        <v>216</v>
      </c>
      <c r="C160" s="4" t="s">
        <v>380</v>
      </c>
      <c r="D160" t="s">
        <v>44</v>
      </c>
      <c r="E160" t="s">
        <v>371</v>
      </c>
      <c r="F160" s="2">
        <v>46301</v>
      </c>
      <c r="G160" s="2"/>
      <c r="H160" s="2"/>
      <c r="I160" s="4" t="s">
        <v>380</v>
      </c>
    </row>
    <row r="161" spans="1:9" x14ac:dyDescent="0.45">
      <c r="A161" t="s">
        <v>79</v>
      </c>
      <c r="B161" t="s">
        <v>216</v>
      </c>
      <c r="C161" s="4" t="s">
        <v>381</v>
      </c>
      <c r="D161" t="s">
        <v>44</v>
      </c>
      <c r="E161" t="s">
        <v>82</v>
      </c>
      <c r="F161" s="2">
        <v>46301</v>
      </c>
      <c r="G161" s="2"/>
      <c r="H161" s="2"/>
      <c r="I161" s="4" t="s">
        <v>381</v>
      </c>
    </row>
    <row r="162" spans="1:9" x14ac:dyDescent="0.45">
      <c r="A162" t="s">
        <v>79</v>
      </c>
      <c r="B162" t="s">
        <v>216</v>
      </c>
      <c r="C162" s="4" t="s">
        <v>382</v>
      </c>
      <c r="D162" t="s">
        <v>44</v>
      </c>
      <c r="E162" t="s">
        <v>377</v>
      </c>
      <c r="F162" s="2">
        <v>46301</v>
      </c>
      <c r="G162" s="2"/>
      <c r="H162" s="2"/>
      <c r="I162" s="4" t="s">
        <v>382</v>
      </c>
    </row>
    <row r="163" spans="1:9" x14ac:dyDescent="0.45">
      <c r="A163" t="s">
        <v>79</v>
      </c>
      <c r="B163" t="s">
        <v>216</v>
      </c>
      <c r="C163" s="4" t="s">
        <v>383</v>
      </c>
      <c r="D163" t="s">
        <v>44</v>
      </c>
      <c r="E163" t="s">
        <v>351</v>
      </c>
      <c r="F163" s="2">
        <v>46301</v>
      </c>
      <c r="G163" s="2"/>
      <c r="H163" s="2"/>
      <c r="I163" s="4" t="s">
        <v>383</v>
      </c>
    </row>
    <row r="164" spans="1:9" x14ac:dyDescent="0.45">
      <c r="A164" t="s">
        <v>79</v>
      </c>
      <c r="B164" t="s">
        <v>216</v>
      </c>
      <c r="C164" s="4" t="s">
        <v>384</v>
      </c>
      <c r="D164" t="s">
        <v>44</v>
      </c>
      <c r="E164" t="s">
        <v>371</v>
      </c>
      <c r="F164" s="2">
        <v>46301</v>
      </c>
      <c r="G164" s="2"/>
      <c r="H164" s="2"/>
      <c r="I164" s="4" t="s">
        <v>384</v>
      </c>
    </row>
    <row r="165" spans="1:9" x14ac:dyDescent="0.45">
      <c r="A165" t="s">
        <v>79</v>
      </c>
      <c r="B165" t="s">
        <v>216</v>
      </c>
      <c r="C165" s="4" t="s">
        <v>385</v>
      </c>
      <c r="D165" t="s">
        <v>44</v>
      </c>
      <c r="E165" t="s">
        <v>386</v>
      </c>
      <c r="F165" s="2">
        <v>46301</v>
      </c>
      <c r="G165" s="2"/>
      <c r="H165" s="2"/>
      <c r="I165" s="4" t="s">
        <v>385</v>
      </c>
    </row>
    <row r="166" spans="1:9" x14ac:dyDescent="0.45">
      <c r="A166" t="s">
        <v>79</v>
      </c>
      <c r="B166" t="s">
        <v>216</v>
      </c>
      <c r="C166" s="4" t="s">
        <v>387</v>
      </c>
      <c r="D166" t="s">
        <v>44</v>
      </c>
      <c r="E166" t="s">
        <v>386</v>
      </c>
      <c r="F166" s="2">
        <v>46301</v>
      </c>
      <c r="G166" s="2"/>
      <c r="H166" s="2"/>
      <c r="I166" s="4" t="s">
        <v>387</v>
      </c>
    </row>
    <row r="167" spans="1:9" x14ac:dyDescent="0.45">
      <c r="A167" t="s">
        <v>79</v>
      </c>
      <c r="B167" t="s">
        <v>216</v>
      </c>
      <c r="C167" s="4" t="s">
        <v>388</v>
      </c>
      <c r="D167" t="s">
        <v>44</v>
      </c>
      <c r="E167" t="s">
        <v>371</v>
      </c>
      <c r="F167" s="2">
        <v>46301</v>
      </c>
      <c r="G167" s="2"/>
      <c r="H167" s="2"/>
      <c r="I167" s="4" t="s">
        <v>388</v>
      </c>
    </row>
    <row r="168" spans="1:9" x14ac:dyDescent="0.45">
      <c r="A168" t="s">
        <v>79</v>
      </c>
      <c r="B168" t="s">
        <v>216</v>
      </c>
      <c r="C168" s="4" t="s">
        <v>389</v>
      </c>
      <c r="D168" t="s">
        <v>44</v>
      </c>
      <c r="E168" t="s">
        <v>341</v>
      </c>
      <c r="F168" s="2">
        <v>46301</v>
      </c>
      <c r="G168" s="2"/>
      <c r="H168" s="2"/>
      <c r="I168" s="4" t="s">
        <v>389</v>
      </c>
    </row>
    <row r="169" spans="1:9" x14ac:dyDescent="0.45">
      <c r="A169" t="s">
        <v>79</v>
      </c>
      <c r="B169" t="s">
        <v>216</v>
      </c>
      <c r="C169" s="4" t="s">
        <v>390</v>
      </c>
      <c r="D169" t="s">
        <v>44</v>
      </c>
      <c r="E169" t="s">
        <v>391</v>
      </c>
      <c r="F169" s="2">
        <v>46301</v>
      </c>
      <c r="G169" s="2"/>
      <c r="H169" s="2"/>
      <c r="I169" s="4" t="s">
        <v>390</v>
      </c>
    </row>
    <row r="170" spans="1:9" x14ac:dyDescent="0.45">
      <c r="A170" t="s">
        <v>79</v>
      </c>
      <c r="B170" t="s">
        <v>216</v>
      </c>
      <c r="C170" s="4" t="s">
        <v>392</v>
      </c>
      <c r="D170" t="s">
        <v>44</v>
      </c>
      <c r="E170" t="s">
        <v>393</v>
      </c>
      <c r="F170" s="2">
        <v>46301</v>
      </c>
      <c r="G170" s="2"/>
      <c r="H170" s="2"/>
      <c r="I170" s="4" t="s">
        <v>392</v>
      </c>
    </row>
    <row r="171" spans="1:9" x14ac:dyDescent="0.45">
      <c r="A171" t="s">
        <v>79</v>
      </c>
      <c r="B171" t="s">
        <v>216</v>
      </c>
      <c r="C171" s="4" t="s">
        <v>394</v>
      </c>
      <c r="D171" t="s">
        <v>44</v>
      </c>
      <c r="E171" t="s">
        <v>395</v>
      </c>
      <c r="F171" s="2">
        <v>46301</v>
      </c>
      <c r="G171" s="2"/>
      <c r="H171" s="2"/>
      <c r="I171" s="4" t="s">
        <v>394</v>
      </c>
    </row>
    <row r="172" spans="1:9" x14ac:dyDescent="0.45">
      <c r="A172" t="s">
        <v>79</v>
      </c>
      <c r="B172" t="s">
        <v>216</v>
      </c>
      <c r="C172" s="4" t="s">
        <v>396</v>
      </c>
      <c r="D172" t="s">
        <v>44</v>
      </c>
      <c r="E172" t="s">
        <v>82</v>
      </c>
      <c r="F172" s="2">
        <v>46301</v>
      </c>
      <c r="G172" s="2"/>
      <c r="H172" s="2"/>
      <c r="I172" s="4" t="s">
        <v>396</v>
      </c>
    </row>
    <row r="173" spans="1:9" x14ac:dyDescent="0.45">
      <c r="A173" t="s">
        <v>79</v>
      </c>
      <c r="B173" t="s">
        <v>216</v>
      </c>
      <c r="C173" s="4" t="s">
        <v>397</v>
      </c>
      <c r="D173" t="s">
        <v>44</v>
      </c>
      <c r="E173" t="s">
        <v>398</v>
      </c>
      <c r="F173" s="2">
        <v>46301</v>
      </c>
      <c r="G173" s="2"/>
      <c r="H173" s="2"/>
      <c r="I173" s="4" t="s">
        <v>397</v>
      </c>
    </row>
    <row r="174" spans="1:9" x14ac:dyDescent="0.45">
      <c r="A174" t="s">
        <v>79</v>
      </c>
      <c r="B174" t="s">
        <v>216</v>
      </c>
      <c r="C174" s="4" t="s">
        <v>399</v>
      </c>
      <c r="D174" t="s">
        <v>44</v>
      </c>
      <c r="E174" t="s">
        <v>386</v>
      </c>
      <c r="F174" s="2">
        <v>46301</v>
      </c>
      <c r="G174" s="2"/>
      <c r="H174" s="2"/>
      <c r="I174" s="4" t="s">
        <v>399</v>
      </c>
    </row>
    <row r="175" spans="1:9" x14ac:dyDescent="0.45">
      <c r="A175" t="s">
        <v>79</v>
      </c>
      <c r="B175" t="s">
        <v>216</v>
      </c>
      <c r="C175" s="4" t="s">
        <v>400</v>
      </c>
      <c r="D175" t="s">
        <v>44</v>
      </c>
      <c r="E175" t="s">
        <v>371</v>
      </c>
      <c r="F175" s="2">
        <v>46301</v>
      </c>
      <c r="G175" s="2"/>
      <c r="H175" s="2"/>
      <c r="I175" s="4" t="s">
        <v>400</v>
      </c>
    </row>
    <row r="176" spans="1:9" x14ac:dyDescent="0.45">
      <c r="A176" t="s">
        <v>79</v>
      </c>
      <c r="B176" t="s">
        <v>216</v>
      </c>
      <c r="C176" s="4" t="s">
        <v>396</v>
      </c>
      <c r="D176" t="s">
        <v>44</v>
      </c>
      <c r="E176" t="s">
        <v>82</v>
      </c>
      <c r="F176" s="2">
        <v>46301</v>
      </c>
      <c r="G176" s="2"/>
      <c r="H176" s="2"/>
      <c r="I176" s="4" t="s">
        <v>396</v>
      </c>
    </row>
    <row r="177" spans="1:9" x14ac:dyDescent="0.45">
      <c r="A177" t="s">
        <v>79</v>
      </c>
      <c r="B177" t="s">
        <v>216</v>
      </c>
      <c r="C177" s="4" t="s">
        <v>401</v>
      </c>
      <c r="D177" t="s">
        <v>44</v>
      </c>
      <c r="E177" t="s">
        <v>371</v>
      </c>
      <c r="F177" s="2">
        <v>46301</v>
      </c>
      <c r="G177" s="2"/>
      <c r="H177" s="2"/>
      <c r="I177" s="4" t="s">
        <v>401</v>
      </c>
    </row>
    <row r="178" spans="1:9" x14ac:dyDescent="0.45">
      <c r="A178" t="s">
        <v>79</v>
      </c>
      <c r="B178" t="s">
        <v>216</v>
      </c>
      <c r="C178" s="4" t="s">
        <v>364</v>
      </c>
      <c r="D178" t="s">
        <v>44</v>
      </c>
      <c r="E178" t="s">
        <v>351</v>
      </c>
      <c r="F178" s="2">
        <v>46301</v>
      </c>
      <c r="G178" s="2"/>
      <c r="H178" s="2"/>
      <c r="I178" s="4" t="s">
        <v>364</v>
      </c>
    </row>
    <row r="179" spans="1:9" x14ac:dyDescent="0.45">
      <c r="A179" t="s">
        <v>79</v>
      </c>
      <c r="B179" t="s">
        <v>216</v>
      </c>
      <c r="C179" s="4" t="s">
        <v>365</v>
      </c>
      <c r="D179" t="s">
        <v>44</v>
      </c>
      <c r="E179" t="s">
        <v>366</v>
      </c>
      <c r="F179" s="2">
        <v>46301</v>
      </c>
      <c r="G179" s="2"/>
      <c r="H179" s="2"/>
      <c r="I179" s="4" t="s">
        <v>365</v>
      </c>
    </row>
    <row r="180" spans="1:9" x14ac:dyDescent="0.45">
      <c r="A180" t="s">
        <v>79</v>
      </c>
      <c r="B180" t="s">
        <v>216</v>
      </c>
      <c r="C180" s="4" t="s">
        <v>367</v>
      </c>
      <c r="D180" t="s">
        <v>44</v>
      </c>
      <c r="E180" t="s">
        <v>82</v>
      </c>
      <c r="F180" s="2">
        <v>46301</v>
      </c>
      <c r="G180" s="2"/>
      <c r="H180" s="2"/>
      <c r="I180" s="4" t="s">
        <v>367</v>
      </c>
    </row>
    <row r="181" spans="1:9" x14ac:dyDescent="0.45">
      <c r="A181" t="s">
        <v>79</v>
      </c>
      <c r="B181" t="s">
        <v>216</v>
      </c>
      <c r="C181" t="s">
        <v>402</v>
      </c>
      <c r="D181" t="s">
        <v>44</v>
      </c>
      <c r="E181" t="s">
        <v>341</v>
      </c>
      <c r="F181" s="2">
        <v>46301</v>
      </c>
      <c r="G181" s="2"/>
      <c r="H181" s="2"/>
      <c r="I181" s="4" t="s">
        <v>403</v>
      </c>
    </row>
    <row r="182" spans="1:9" x14ac:dyDescent="0.45">
      <c r="A182" t="s">
        <v>79</v>
      </c>
      <c r="B182" t="s">
        <v>216</v>
      </c>
      <c r="C182" s="4" t="s">
        <v>369</v>
      </c>
      <c r="D182" t="s">
        <v>44</v>
      </c>
      <c r="E182" t="s">
        <v>366</v>
      </c>
      <c r="F182" s="2">
        <v>46301</v>
      </c>
      <c r="G182" s="2"/>
      <c r="H182" s="2"/>
      <c r="I182" s="4" t="s">
        <v>369</v>
      </c>
    </row>
    <row r="183" spans="1:9" x14ac:dyDescent="0.45">
      <c r="A183" t="s">
        <v>79</v>
      </c>
      <c r="B183" t="s">
        <v>216</v>
      </c>
      <c r="C183" s="4" t="s">
        <v>382</v>
      </c>
      <c r="D183" t="s">
        <v>44</v>
      </c>
      <c r="E183" t="s">
        <v>377</v>
      </c>
      <c r="F183" s="2">
        <v>46301</v>
      </c>
      <c r="G183" s="2"/>
      <c r="H183" s="2"/>
      <c r="I183" s="4" t="s">
        <v>382</v>
      </c>
    </row>
    <row r="184" spans="1:9" x14ac:dyDescent="0.45">
      <c r="A184" t="s">
        <v>79</v>
      </c>
      <c r="B184" t="s">
        <v>216</v>
      </c>
      <c r="C184" s="4" t="s">
        <v>374</v>
      </c>
      <c r="D184" t="s">
        <v>44</v>
      </c>
      <c r="E184" t="s">
        <v>375</v>
      </c>
      <c r="F184" s="2">
        <v>46301</v>
      </c>
      <c r="G184" s="2"/>
      <c r="H184" s="2"/>
      <c r="I184" s="4" t="s">
        <v>374</v>
      </c>
    </row>
    <row r="185" spans="1:9" x14ac:dyDescent="0.45">
      <c r="A185" t="s">
        <v>79</v>
      </c>
      <c r="B185" t="s">
        <v>216</v>
      </c>
      <c r="C185" s="4" t="s">
        <v>384</v>
      </c>
      <c r="D185" t="s">
        <v>44</v>
      </c>
      <c r="E185" t="s">
        <v>371</v>
      </c>
      <c r="F185" s="2">
        <v>46301</v>
      </c>
      <c r="G185" s="2"/>
      <c r="H185" s="2"/>
      <c r="I185" s="4" t="s">
        <v>384</v>
      </c>
    </row>
    <row r="186" spans="1:9" x14ac:dyDescent="0.45">
      <c r="A186" t="s">
        <v>79</v>
      </c>
      <c r="B186" t="s">
        <v>216</v>
      </c>
      <c r="C186" s="4" t="s">
        <v>376</v>
      </c>
      <c r="D186" t="s">
        <v>44</v>
      </c>
      <c r="E186" t="s">
        <v>377</v>
      </c>
      <c r="F186" s="2">
        <v>46301</v>
      </c>
      <c r="G186" s="2"/>
      <c r="H186" s="2"/>
      <c r="I186" s="4" t="s">
        <v>376</v>
      </c>
    </row>
    <row r="187" spans="1:9" x14ac:dyDescent="0.45">
      <c r="A187" t="s">
        <v>79</v>
      </c>
      <c r="B187" t="s">
        <v>216</v>
      </c>
      <c r="C187" s="4" t="s">
        <v>370</v>
      </c>
      <c r="D187" t="s">
        <v>44</v>
      </c>
      <c r="E187" t="s">
        <v>371</v>
      </c>
      <c r="F187" s="2">
        <v>46301</v>
      </c>
      <c r="G187" s="2"/>
      <c r="H187" s="2"/>
      <c r="I187" s="4" t="s">
        <v>370</v>
      </c>
    </row>
    <row r="188" spans="1:9" x14ac:dyDescent="0.45">
      <c r="A188" t="s">
        <v>79</v>
      </c>
      <c r="B188" t="s">
        <v>216</v>
      </c>
      <c r="C188" s="4" t="s">
        <v>372</v>
      </c>
      <c r="D188" t="s">
        <v>44</v>
      </c>
      <c r="E188" t="s">
        <v>371</v>
      </c>
      <c r="F188" s="2">
        <v>46301</v>
      </c>
      <c r="G188" s="2"/>
      <c r="H188" s="2"/>
      <c r="I188" s="4" t="s">
        <v>372</v>
      </c>
    </row>
    <row r="189" spans="1:9" x14ac:dyDescent="0.45">
      <c r="A189" t="s">
        <v>79</v>
      </c>
      <c r="B189" t="s">
        <v>216</v>
      </c>
      <c r="C189" s="4" t="s">
        <v>404</v>
      </c>
      <c r="D189" t="s">
        <v>44</v>
      </c>
      <c r="E189" t="s">
        <v>393</v>
      </c>
      <c r="F189" s="2">
        <v>46301</v>
      </c>
      <c r="G189" s="2"/>
      <c r="H189" s="2"/>
      <c r="I189" s="4" t="s">
        <v>404</v>
      </c>
    </row>
    <row r="190" spans="1:9" x14ac:dyDescent="0.45">
      <c r="A190" t="s">
        <v>79</v>
      </c>
      <c r="B190" t="s">
        <v>216</v>
      </c>
      <c r="C190" s="4" t="s">
        <v>405</v>
      </c>
      <c r="D190" t="s">
        <v>44</v>
      </c>
      <c r="E190" t="s">
        <v>391</v>
      </c>
      <c r="F190" s="2">
        <v>46301</v>
      </c>
      <c r="G190" s="2"/>
      <c r="H190" s="2"/>
      <c r="I190" s="4" t="s">
        <v>405</v>
      </c>
    </row>
    <row r="191" spans="1:9" x14ac:dyDescent="0.45">
      <c r="A191" t="s">
        <v>99</v>
      </c>
      <c r="B191" t="s">
        <v>406</v>
      </c>
      <c r="C191" t="s">
        <v>407</v>
      </c>
      <c r="D191" t="s">
        <v>44</v>
      </c>
      <c r="E191" t="s">
        <v>408</v>
      </c>
      <c r="F191" s="2">
        <v>46301</v>
      </c>
      <c r="G191" s="2">
        <v>46279</v>
      </c>
      <c r="H191" s="2"/>
      <c r="I191" s="4" t="s">
        <v>409</v>
      </c>
    </row>
    <row r="192" spans="1:9" x14ac:dyDescent="0.45">
      <c r="A192" t="s">
        <v>19</v>
      </c>
      <c r="B192" t="s">
        <v>195</v>
      </c>
      <c r="C192" s="4" t="s">
        <v>410</v>
      </c>
      <c r="D192" t="s">
        <v>57</v>
      </c>
      <c r="E192" t="s">
        <v>23</v>
      </c>
      <c r="F192" s="2">
        <v>46301</v>
      </c>
      <c r="G192" s="2">
        <v>46294</v>
      </c>
      <c r="H192" s="2"/>
      <c r="I192" s="4" t="s">
        <v>410</v>
      </c>
    </row>
    <row r="193" spans="1:9" x14ac:dyDescent="0.45">
      <c r="A193" t="s">
        <v>19</v>
      </c>
      <c r="B193" t="s">
        <v>195</v>
      </c>
      <c r="C193" s="4" t="s">
        <v>411</v>
      </c>
      <c r="D193" t="s">
        <v>57</v>
      </c>
      <c r="E193" t="s">
        <v>412</v>
      </c>
      <c r="F193" s="2">
        <v>46301</v>
      </c>
      <c r="G193" s="2">
        <v>46294</v>
      </c>
      <c r="H193" s="2"/>
      <c r="I193" s="4" t="s">
        <v>411</v>
      </c>
    </row>
    <row r="194" spans="1:9" x14ac:dyDescent="0.45">
      <c r="A194" t="s">
        <v>19</v>
      </c>
      <c r="B194" t="s">
        <v>413</v>
      </c>
      <c r="C194" s="4" t="s">
        <v>414</v>
      </c>
      <c r="D194" t="s">
        <v>57</v>
      </c>
      <c r="E194" t="s">
        <v>415</v>
      </c>
      <c r="F194" s="2">
        <v>46301</v>
      </c>
      <c r="G194" s="2"/>
      <c r="H194" s="2"/>
      <c r="I194" s="4" t="s">
        <v>414</v>
      </c>
    </row>
    <row r="195" spans="1:9" x14ac:dyDescent="0.45">
      <c r="A195" t="s">
        <v>19</v>
      </c>
      <c r="B195" t="s">
        <v>416</v>
      </c>
      <c r="C195" t="s">
        <v>417</v>
      </c>
      <c r="D195" t="s">
        <v>57</v>
      </c>
      <c r="E195" t="s">
        <v>23</v>
      </c>
      <c r="F195" s="2">
        <v>46301</v>
      </c>
      <c r="G195" s="2"/>
      <c r="H195" s="2"/>
      <c r="I195" t="s">
        <v>418</v>
      </c>
    </row>
    <row r="196" spans="1:9" x14ac:dyDescent="0.45">
      <c r="A196" t="s">
        <v>79</v>
      </c>
      <c r="B196" t="s">
        <v>419</v>
      </c>
      <c r="C196" s="4" t="s">
        <v>420</v>
      </c>
      <c r="D196" t="s">
        <v>57</v>
      </c>
      <c r="E196" t="s">
        <v>63</v>
      </c>
      <c r="F196" s="2">
        <v>46301</v>
      </c>
      <c r="G196" s="2"/>
      <c r="H196" s="2"/>
      <c r="I196" s="4" t="s">
        <v>420</v>
      </c>
    </row>
    <row r="197" spans="1:9" x14ac:dyDescent="0.45">
      <c r="A197" t="s">
        <v>79</v>
      </c>
      <c r="B197" t="s">
        <v>419</v>
      </c>
      <c r="C197" s="4" t="s">
        <v>421</v>
      </c>
      <c r="D197" t="s">
        <v>57</v>
      </c>
      <c r="E197" t="s">
        <v>63</v>
      </c>
      <c r="F197" s="2">
        <v>46301</v>
      </c>
      <c r="G197" s="2"/>
      <c r="H197" s="2"/>
      <c r="I197" s="4" t="s">
        <v>421</v>
      </c>
    </row>
    <row r="198" spans="1:9" x14ac:dyDescent="0.45">
      <c r="A198" t="s">
        <v>79</v>
      </c>
      <c r="B198" t="s">
        <v>419</v>
      </c>
      <c r="C198" s="4" t="s">
        <v>422</v>
      </c>
      <c r="D198" t="s">
        <v>57</v>
      </c>
      <c r="E198" t="s">
        <v>63</v>
      </c>
      <c r="F198" s="2">
        <v>46301</v>
      </c>
      <c r="G198" s="2"/>
      <c r="H198" s="2"/>
      <c r="I198" s="4" t="s">
        <v>422</v>
      </c>
    </row>
    <row r="199" spans="1:9" x14ac:dyDescent="0.45">
      <c r="A199" t="s">
        <v>79</v>
      </c>
      <c r="B199" t="s">
        <v>419</v>
      </c>
      <c r="C199" s="4" t="s">
        <v>423</v>
      </c>
      <c r="D199" t="s">
        <v>57</v>
      </c>
      <c r="E199" t="s">
        <v>63</v>
      </c>
      <c r="F199" s="2">
        <v>46301</v>
      </c>
      <c r="G199" s="2"/>
      <c r="H199" s="2"/>
      <c r="I199" s="4" t="s">
        <v>423</v>
      </c>
    </row>
    <row r="200" spans="1:9" x14ac:dyDescent="0.45">
      <c r="A200" t="s">
        <v>79</v>
      </c>
      <c r="B200" t="s">
        <v>419</v>
      </c>
      <c r="C200" s="4" t="s">
        <v>423</v>
      </c>
      <c r="D200" t="s">
        <v>57</v>
      </c>
      <c r="E200" t="s">
        <v>63</v>
      </c>
      <c r="F200" s="2">
        <v>46301</v>
      </c>
      <c r="G200" s="2"/>
      <c r="H200" s="2"/>
      <c r="I200" s="4" t="s">
        <v>423</v>
      </c>
    </row>
    <row r="201" spans="1:9" x14ac:dyDescent="0.45">
      <c r="A201" t="s">
        <v>79</v>
      </c>
      <c r="B201" t="s">
        <v>419</v>
      </c>
      <c r="C201" s="4" t="s">
        <v>424</v>
      </c>
      <c r="D201" t="s">
        <v>57</v>
      </c>
      <c r="E201" t="s">
        <v>425</v>
      </c>
      <c r="F201" s="2">
        <v>46301</v>
      </c>
      <c r="G201" s="2"/>
      <c r="H201" s="2"/>
      <c r="I201" s="4" t="s">
        <v>424</v>
      </c>
    </row>
    <row r="202" spans="1:9" x14ac:dyDescent="0.45">
      <c r="A202" t="s">
        <v>79</v>
      </c>
      <c r="B202" t="s">
        <v>419</v>
      </c>
      <c r="C202" s="4" t="s">
        <v>426</v>
      </c>
      <c r="D202" t="s">
        <v>57</v>
      </c>
      <c r="E202" t="s">
        <v>425</v>
      </c>
      <c r="F202" s="2">
        <v>46301</v>
      </c>
      <c r="G202" s="2"/>
      <c r="H202" s="2"/>
      <c r="I202" s="4" t="s">
        <v>426</v>
      </c>
    </row>
    <row r="203" spans="1:9" x14ac:dyDescent="0.45">
      <c r="A203" t="s">
        <v>79</v>
      </c>
      <c r="B203" t="s">
        <v>419</v>
      </c>
      <c r="C203" s="4" t="s">
        <v>423</v>
      </c>
      <c r="D203" t="s">
        <v>57</v>
      </c>
      <c r="E203" t="s">
        <v>427</v>
      </c>
      <c r="F203" s="2">
        <v>46301</v>
      </c>
      <c r="G203" s="2"/>
      <c r="H203" s="2"/>
      <c r="I203" s="4" t="s">
        <v>423</v>
      </c>
    </row>
    <row r="204" spans="1:9" x14ac:dyDescent="0.45">
      <c r="A204" t="s">
        <v>19</v>
      </c>
      <c r="B204" t="s">
        <v>428</v>
      </c>
      <c r="C204" t="s">
        <v>429</v>
      </c>
      <c r="D204" t="s">
        <v>57</v>
      </c>
      <c r="E204" t="s">
        <v>112</v>
      </c>
      <c r="F204" s="2">
        <v>46301</v>
      </c>
      <c r="G204" s="2"/>
      <c r="H204" s="2"/>
      <c r="I204" t="s">
        <v>418</v>
      </c>
    </row>
    <row r="205" spans="1:9" x14ac:dyDescent="0.45">
      <c r="A205" t="s">
        <v>46</v>
      </c>
      <c r="B205" t="s">
        <v>430</v>
      </c>
      <c r="C205" t="s">
        <v>431</v>
      </c>
      <c r="D205" t="s">
        <v>57</v>
      </c>
      <c r="E205" t="s">
        <v>112</v>
      </c>
      <c r="F205" s="2">
        <v>46301</v>
      </c>
      <c r="G205" s="2"/>
      <c r="H205" s="2"/>
      <c r="I205" s="4" t="s">
        <v>432</v>
      </c>
    </row>
    <row r="206" spans="1:9" x14ac:dyDescent="0.45">
      <c r="A206" t="s">
        <v>46</v>
      </c>
      <c r="B206" t="s">
        <v>430</v>
      </c>
      <c r="C206" t="s">
        <v>433</v>
      </c>
      <c r="D206" t="s">
        <v>57</v>
      </c>
      <c r="E206" t="s">
        <v>112</v>
      </c>
      <c r="F206" s="2">
        <v>46301</v>
      </c>
      <c r="G206" s="2"/>
      <c r="H206" s="2"/>
      <c r="I206" s="4" t="s">
        <v>432</v>
      </c>
    </row>
    <row r="207" spans="1:9" x14ac:dyDescent="0.45">
      <c r="A207" t="s">
        <v>46</v>
      </c>
      <c r="B207" t="s">
        <v>430</v>
      </c>
      <c r="C207" t="s">
        <v>434</v>
      </c>
      <c r="D207" t="s">
        <v>57</v>
      </c>
      <c r="E207" t="s">
        <v>112</v>
      </c>
      <c r="F207" s="2">
        <v>46301</v>
      </c>
      <c r="G207" s="2"/>
      <c r="H207" s="2"/>
      <c r="I207" s="4" t="s">
        <v>432</v>
      </c>
    </row>
    <row r="208" spans="1:9" x14ac:dyDescent="0.45">
      <c r="A208" t="s">
        <v>46</v>
      </c>
      <c r="B208" t="s">
        <v>430</v>
      </c>
      <c r="C208" t="s">
        <v>435</v>
      </c>
      <c r="D208" t="s">
        <v>57</v>
      </c>
      <c r="E208" t="s">
        <v>112</v>
      </c>
      <c r="F208" s="2">
        <v>46301</v>
      </c>
      <c r="G208" s="2"/>
      <c r="H208" s="2"/>
      <c r="I208" s="4" t="s">
        <v>432</v>
      </c>
    </row>
    <row r="209" spans="1:9" x14ac:dyDescent="0.45">
      <c r="A209" t="s">
        <v>46</v>
      </c>
      <c r="B209" t="s">
        <v>430</v>
      </c>
      <c r="C209" t="s">
        <v>436</v>
      </c>
      <c r="D209" t="s">
        <v>57</v>
      </c>
      <c r="E209" t="s">
        <v>112</v>
      </c>
      <c r="F209" s="2">
        <v>46301</v>
      </c>
      <c r="G209" s="2"/>
      <c r="H209" s="2"/>
      <c r="I209" s="4" t="s">
        <v>432</v>
      </c>
    </row>
    <row r="210" spans="1:9" x14ac:dyDescent="0.45">
      <c r="A210" t="s">
        <v>46</v>
      </c>
      <c r="B210" t="s">
        <v>430</v>
      </c>
      <c r="C210" t="s">
        <v>437</v>
      </c>
      <c r="D210" t="s">
        <v>57</v>
      </c>
      <c r="E210" t="s">
        <v>112</v>
      </c>
      <c r="F210" s="2">
        <v>46301</v>
      </c>
      <c r="G210" s="2"/>
      <c r="H210" s="2"/>
      <c r="I210" s="4" t="s">
        <v>432</v>
      </c>
    </row>
    <row r="211" spans="1:9" x14ac:dyDescent="0.45">
      <c r="A211" t="s">
        <v>46</v>
      </c>
      <c r="B211" t="s">
        <v>430</v>
      </c>
      <c r="C211" t="s">
        <v>438</v>
      </c>
      <c r="D211" t="s">
        <v>57</v>
      </c>
      <c r="E211" t="s">
        <v>112</v>
      </c>
      <c r="F211" s="2">
        <v>46301</v>
      </c>
      <c r="G211" s="2"/>
      <c r="H211" s="2"/>
      <c r="I211" s="4" t="s">
        <v>432</v>
      </c>
    </row>
    <row r="212" spans="1:9" x14ac:dyDescent="0.45">
      <c r="A212" t="s">
        <v>19</v>
      </c>
      <c r="B212" t="s">
        <v>439</v>
      </c>
      <c r="C212" t="s">
        <v>440</v>
      </c>
      <c r="D212" t="s">
        <v>57</v>
      </c>
      <c r="E212" t="s">
        <v>112</v>
      </c>
      <c r="F212" s="2">
        <v>46301</v>
      </c>
      <c r="G212" s="2"/>
      <c r="H212" s="2"/>
      <c r="I212" t="s">
        <v>418</v>
      </c>
    </row>
    <row r="213" spans="1:9" x14ac:dyDescent="0.45">
      <c r="A213" t="s">
        <v>46</v>
      </c>
      <c r="B213" t="s">
        <v>441</v>
      </c>
      <c r="C213" t="s">
        <v>442</v>
      </c>
      <c r="D213" t="s">
        <v>57</v>
      </c>
      <c r="E213" t="s">
        <v>112</v>
      </c>
      <c r="F213" s="2">
        <v>46301</v>
      </c>
      <c r="G213" s="2"/>
      <c r="H213" s="2"/>
      <c r="I213" s="4" t="s">
        <v>260</v>
      </c>
    </row>
    <row r="214" spans="1:9" x14ac:dyDescent="0.45">
      <c r="A214" t="s">
        <v>46</v>
      </c>
      <c r="B214" t="s">
        <v>441</v>
      </c>
      <c r="C214" t="s">
        <v>443</v>
      </c>
      <c r="D214" t="s">
        <v>57</v>
      </c>
      <c r="E214" t="s">
        <v>112</v>
      </c>
      <c r="F214" s="2">
        <v>46301</v>
      </c>
      <c r="G214" s="2"/>
      <c r="H214" s="2"/>
      <c r="I214" s="4" t="s">
        <v>260</v>
      </c>
    </row>
    <row r="215" spans="1:9" x14ac:dyDescent="0.45">
      <c r="A215" t="s">
        <v>46</v>
      </c>
      <c r="B215" t="s">
        <v>441</v>
      </c>
      <c r="C215" t="s">
        <v>444</v>
      </c>
      <c r="D215" t="s">
        <v>57</v>
      </c>
      <c r="E215" t="s">
        <v>112</v>
      </c>
      <c r="F215" s="2">
        <v>46301</v>
      </c>
      <c r="G215" s="2"/>
      <c r="H215" s="2"/>
      <c r="I215" s="4" t="s">
        <v>260</v>
      </c>
    </row>
    <row r="216" spans="1:9" ht="14.25" customHeight="1" x14ac:dyDescent="0.45">
      <c r="A216" t="s">
        <v>46</v>
      </c>
      <c r="B216" t="s">
        <v>441</v>
      </c>
      <c r="C216" s="18" t="s">
        <v>445</v>
      </c>
      <c r="D216" t="s">
        <v>57</v>
      </c>
      <c r="E216" t="s">
        <v>112</v>
      </c>
      <c r="F216" s="2">
        <v>46301</v>
      </c>
      <c r="G216" s="2"/>
      <c r="H216" s="2"/>
      <c r="I216" s="4" t="s">
        <v>260</v>
      </c>
    </row>
    <row r="217" spans="1:9" x14ac:dyDescent="0.45">
      <c r="A217" t="s">
        <v>19</v>
      </c>
      <c r="B217" t="s">
        <v>446</v>
      </c>
      <c r="C217" t="s">
        <v>447</v>
      </c>
      <c r="D217" t="s">
        <v>57</v>
      </c>
      <c r="E217" t="s">
        <v>112</v>
      </c>
      <c r="F217" s="2">
        <v>46301</v>
      </c>
      <c r="G217" s="2"/>
      <c r="H217" s="2"/>
      <c r="I217" t="s">
        <v>448</v>
      </c>
    </row>
    <row r="218" spans="1:9" x14ac:dyDescent="0.45">
      <c r="A218" t="s">
        <v>19</v>
      </c>
      <c r="B218" t="s">
        <v>446</v>
      </c>
      <c r="C218" t="s">
        <v>449</v>
      </c>
      <c r="D218" t="s">
        <v>57</v>
      </c>
      <c r="E218" t="s">
        <v>112</v>
      </c>
      <c r="F218" s="2">
        <v>46301</v>
      </c>
      <c r="G218" s="2"/>
      <c r="H218" s="2"/>
      <c r="I218" t="s">
        <v>450</v>
      </c>
    </row>
    <row r="219" spans="1:9" x14ac:dyDescent="0.45">
      <c r="A219" t="s">
        <v>19</v>
      </c>
      <c r="B219" t="s">
        <v>446</v>
      </c>
      <c r="C219" s="4" t="s">
        <v>451</v>
      </c>
      <c r="D219" t="s">
        <v>57</v>
      </c>
      <c r="E219" t="s">
        <v>112</v>
      </c>
      <c r="F219" s="2">
        <v>46301</v>
      </c>
      <c r="G219" s="2"/>
      <c r="H219" s="2"/>
      <c r="I219" s="4" t="s">
        <v>451</v>
      </c>
    </row>
    <row r="220" spans="1:9" x14ac:dyDescent="0.45">
      <c r="A220" t="s">
        <v>19</v>
      </c>
      <c r="B220" t="s">
        <v>446</v>
      </c>
      <c r="C220" s="4" t="s">
        <v>452</v>
      </c>
      <c r="D220" t="s">
        <v>57</v>
      </c>
      <c r="E220" t="s">
        <v>112</v>
      </c>
      <c r="F220" s="2">
        <v>46301</v>
      </c>
      <c r="G220" s="2"/>
      <c r="H220" s="2"/>
      <c r="I220" s="4" t="s">
        <v>452</v>
      </c>
    </row>
    <row r="221" spans="1:9" x14ac:dyDescent="0.45">
      <c r="A221" t="s">
        <v>19</v>
      </c>
      <c r="B221" t="s">
        <v>446</v>
      </c>
      <c r="C221" s="4" t="s">
        <v>453</v>
      </c>
      <c r="D221" t="s">
        <v>57</v>
      </c>
      <c r="E221" s="25" t="s">
        <v>112</v>
      </c>
      <c r="F221" s="2">
        <v>46301</v>
      </c>
      <c r="G221" s="2"/>
      <c r="H221" s="2"/>
      <c r="I221" s="4" t="s">
        <v>453</v>
      </c>
    </row>
    <row r="222" spans="1:9" x14ac:dyDescent="0.45">
      <c r="A222" t="s">
        <v>19</v>
      </c>
      <c r="B222" t="s">
        <v>446</v>
      </c>
      <c r="C222" s="4" t="s">
        <v>454</v>
      </c>
      <c r="D222" t="s">
        <v>57</v>
      </c>
      <c r="E222" t="s">
        <v>112</v>
      </c>
      <c r="F222" s="2">
        <v>46301</v>
      </c>
      <c r="G222" s="2"/>
      <c r="H222" s="2"/>
      <c r="I222" s="4" t="s">
        <v>454</v>
      </c>
    </row>
    <row r="223" spans="1:9" x14ac:dyDescent="0.45">
      <c r="A223" t="s">
        <v>19</v>
      </c>
      <c r="B223" t="s">
        <v>446</v>
      </c>
      <c r="C223" s="4" t="s">
        <v>455</v>
      </c>
      <c r="D223" t="s">
        <v>57</v>
      </c>
      <c r="E223" t="s">
        <v>112</v>
      </c>
      <c r="F223" s="2">
        <v>46301</v>
      </c>
      <c r="G223" s="2"/>
      <c r="H223" s="2"/>
      <c r="I223" s="4" t="s">
        <v>455</v>
      </c>
    </row>
    <row r="224" spans="1:9" x14ac:dyDescent="0.45">
      <c r="A224" t="s">
        <v>19</v>
      </c>
      <c r="B224" t="s">
        <v>446</v>
      </c>
      <c r="C224" s="4" t="s">
        <v>456</v>
      </c>
      <c r="D224" t="s">
        <v>57</v>
      </c>
      <c r="E224" t="s">
        <v>112</v>
      </c>
      <c r="F224" s="2">
        <v>46301</v>
      </c>
      <c r="G224" s="2"/>
      <c r="H224" s="2"/>
      <c r="I224" s="4" t="s">
        <v>456</v>
      </c>
    </row>
    <row r="225" spans="1:9" x14ac:dyDescent="0.45">
      <c r="A225" t="s">
        <v>79</v>
      </c>
      <c r="B225" t="s">
        <v>457</v>
      </c>
      <c r="C225" t="s">
        <v>458</v>
      </c>
      <c r="D225" t="s">
        <v>57</v>
      </c>
      <c r="E225" t="s">
        <v>112</v>
      </c>
      <c r="F225" s="2">
        <v>46301</v>
      </c>
      <c r="G225" s="2"/>
      <c r="H225" s="2"/>
      <c r="I225" s="4" t="s">
        <v>459</v>
      </c>
    </row>
    <row r="226" spans="1:9" x14ac:dyDescent="0.45">
      <c r="A226" t="s">
        <v>79</v>
      </c>
      <c r="B226" t="s">
        <v>457</v>
      </c>
      <c r="C226" t="s">
        <v>460</v>
      </c>
      <c r="D226" t="s">
        <v>57</v>
      </c>
      <c r="E226" t="s">
        <v>112</v>
      </c>
      <c r="F226" s="2">
        <v>46301</v>
      </c>
      <c r="G226" s="2"/>
      <c r="H226" s="2"/>
      <c r="I226" s="4" t="s">
        <v>461</v>
      </c>
    </row>
    <row r="227" spans="1:9" x14ac:dyDescent="0.45">
      <c r="A227" t="s">
        <v>46</v>
      </c>
      <c r="B227" t="s">
        <v>457</v>
      </c>
      <c r="C227" t="s">
        <v>462</v>
      </c>
      <c r="D227" t="s">
        <v>57</v>
      </c>
      <c r="E227" t="s">
        <v>112</v>
      </c>
      <c r="F227" s="2">
        <v>46301</v>
      </c>
      <c r="G227" s="2"/>
      <c r="H227" s="2"/>
      <c r="I227" s="4" t="s">
        <v>463</v>
      </c>
    </row>
    <row r="228" spans="1:9" x14ac:dyDescent="0.45">
      <c r="A228" t="s">
        <v>79</v>
      </c>
      <c r="B228" t="s">
        <v>457</v>
      </c>
      <c r="C228" t="s">
        <v>464</v>
      </c>
      <c r="D228" t="s">
        <v>57</v>
      </c>
      <c r="E228" t="s">
        <v>112</v>
      </c>
      <c r="F228" s="2">
        <v>46301</v>
      </c>
      <c r="G228" s="2"/>
      <c r="H228" s="2"/>
      <c r="I228" s="4" t="s">
        <v>465</v>
      </c>
    </row>
    <row r="229" spans="1:9" x14ac:dyDescent="0.45">
      <c r="A229" t="s">
        <v>79</v>
      </c>
      <c r="B229" t="s">
        <v>457</v>
      </c>
      <c r="C229" t="s">
        <v>466</v>
      </c>
      <c r="D229" t="s">
        <v>57</v>
      </c>
      <c r="E229" t="s">
        <v>112</v>
      </c>
      <c r="F229" s="2">
        <v>46301</v>
      </c>
      <c r="G229" s="2"/>
      <c r="H229" s="2"/>
      <c r="I229" s="4" t="s">
        <v>467</v>
      </c>
    </row>
    <row r="230" spans="1:9" x14ac:dyDescent="0.45">
      <c r="A230" t="s">
        <v>79</v>
      </c>
      <c r="B230" t="s">
        <v>457</v>
      </c>
      <c r="C230" t="s">
        <v>468</v>
      </c>
      <c r="D230" t="s">
        <v>57</v>
      </c>
      <c r="E230" t="s">
        <v>112</v>
      </c>
      <c r="F230" s="2">
        <v>46301</v>
      </c>
      <c r="G230" s="2"/>
      <c r="H230" s="2"/>
      <c r="I230" s="4" t="s">
        <v>469</v>
      </c>
    </row>
    <row r="231" spans="1:9" x14ac:dyDescent="0.45">
      <c r="A231" t="s">
        <v>79</v>
      </c>
      <c r="B231" t="s">
        <v>457</v>
      </c>
      <c r="C231" t="s">
        <v>470</v>
      </c>
      <c r="D231" t="s">
        <v>57</v>
      </c>
      <c r="E231" t="s">
        <v>112</v>
      </c>
      <c r="F231" s="2">
        <v>46301</v>
      </c>
      <c r="G231" s="2"/>
      <c r="H231" s="2"/>
      <c r="I231" s="4" t="s">
        <v>471</v>
      </c>
    </row>
    <row r="232" spans="1:9" x14ac:dyDescent="0.45">
      <c r="A232" t="s">
        <v>79</v>
      </c>
      <c r="B232" t="s">
        <v>457</v>
      </c>
      <c r="C232" t="s">
        <v>472</v>
      </c>
      <c r="D232" t="s">
        <v>57</v>
      </c>
      <c r="E232" t="s">
        <v>112</v>
      </c>
      <c r="F232" s="2">
        <v>46301</v>
      </c>
      <c r="G232" s="2"/>
      <c r="H232" s="2"/>
      <c r="I232" s="4" t="s">
        <v>473</v>
      </c>
    </row>
    <row r="233" spans="1:9" x14ac:dyDescent="0.45">
      <c r="A233" t="s">
        <v>19</v>
      </c>
      <c r="B233" t="s">
        <v>474</v>
      </c>
      <c r="C233" t="s">
        <v>475</v>
      </c>
      <c r="D233" t="s">
        <v>57</v>
      </c>
      <c r="E233" t="s">
        <v>112</v>
      </c>
      <c r="F233" s="2">
        <v>46301</v>
      </c>
      <c r="G233" s="2"/>
      <c r="H233" s="2"/>
      <c r="I233" t="s">
        <v>418</v>
      </c>
    </row>
    <row r="234" spans="1:9" x14ac:dyDescent="0.45">
      <c r="A234" t="s">
        <v>19</v>
      </c>
      <c r="B234" t="s">
        <v>476</v>
      </c>
      <c r="C234" t="s">
        <v>477</v>
      </c>
      <c r="D234" t="s">
        <v>57</v>
      </c>
      <c r="E234" t="s">
        <v>112</v>
      </c>
      <c r="F234" s="2">
        <v>46301</v>
      </c>
      <c r="G234" s="2"/>
      <c r="H234" s="2"/>
      <c r="I234" t="s">
        <v>418</v>
      </c>
    </row>
    <row r="235" spans="1:9" x14ac:dyDescent="0.45">
      <c r="A235" t="s">
        <v>19</v>
      </c>
      <c r="B235" t="s">
        <v>478</v>
      </c>
      <c r="C235" t="s">
        <v>479</v>
      </c>
      <c r="D235" t="s">
        <v>57</v>
      </c>
      <c r="E235" t="s">
        <v>112</v>
      </c>
      <c r="F235" s="2">
        <v>46301</v>
      </c>
      <c r="G235" s="2"/>
      <c r="H235" s="2"/>
      <c r="I235" t="s">
        <v>418</v>
      </c>
    </row>
    <row r="236" spans="1:9" x14ac:dyDescent="0.45">
      <c r="A236" t="s">
        <v>19</v>
      </c>
      <c r="B236" t="s">
        <v>480</v>
      </c>
      <c r="C236" t="s">
        <v>481</v>
      </c>
      <c r="D236" t="s">
        <v>57</v>
      </c>
      <c r="E236" t="s">
        <v>112</v>
      </c>
      <c r="F236" s="2">
        <v>46301</v>
      </c>
      <c r="G236" s="2"/>
      <c r="H236" s="2"/>
      <c r="I236" t="s">
        <v>418</v>
      </c>
    </row>
    <row r="237" spans="1:9" x14ac:dyDescent="0.45">
      <c r="A237" t="s">
        <v>19</v>
      </c>
      <c r="B237" t="s">
        <v>482</v>
      </c>
      <c r="C237" t="s">
        <v>483</v>
      </c>
      <c r="D237" t="s">
        <v>57</v>
      </c>
      <c r="E237" t="s">
        <v>112</v>
      </c>
      <c r="F237" s="2">
        <v>46301</v>
      </c>
      <c r="G237" s="2"/>
      <c r="H237" s="2"/>
      <c r="I237" t="s">
        <v>418</v>
      </c>
    </row>
    <row r="238" spans="1:9" x14ac:dyDescent="0.45">
      <c r="A238" t="s">
        <v>19</v>
      </c>
      <c r="B238" t="s">
        <v>484</v>
      </c>
      <c r="C238" t="s">
        <v>485</v>
      </c>
      <c r="D238" t="s">
        <v>57</v>
      </c>
      <c r="E238" t="s">
        <v>112</v>
      </c>
      <c r="F238" s="2">
        <v>46301</v>
      </c>
      <c r="G238" s="2"/>
      <c r="H238" s="2"/>
      <c r="I238" t="s">
        <v>418</v>
      </c>
    </row>
    <row r="239" spans="1:9" x14ac:dyDescent="0.45">
      <c r="A239" t="s">
        <v>79</v>
      </c>
      <c r="B239" t="s">
        <v>486</v>
      </c>
      <c r="C239" s="4" t="s">
        <v>487</v>
      </c>
      <c r="D239" t="s">
        <v>57</v>
      </c>
      <c r="E239" t="s">
        <v>112</v>
      </c>
      <c r="F239" s="2">
        <v>46301</v>
      </c>
      <c r="G239" s="2"/>
      <c r="H239" s="2"/>
      <c r="I239" s="4" t="s">
        <v>487</v>
      </c>
    </row>
    <row r="240" spans="1:9" x14ac:dyDescent="0.45">
      <c r="A240" t="s">
        <v>79</v>
      </c>
      <c r="B240" t="s">
        <v>486</v>
      </c>
      <c r="C240" s="4" t="s">
        <v>488</v>
      </c>
      <c r="D240" t="s">
        <v>57</v>
      </c>
      <c r="E240" t="s">
        <v>112</v>
      </c>
      <c r="F240" s="2">
        <v>46301</v>
      </c>
      <c r="G240" s="2"/>
      <c r="H240" s="2"/>
      <c r="I240" s="4" t="s">
        <v>488</v>
      </c>
    </row>
    <row r="241" spans="1:9" x14ac:dyDescent="0.45">
      <c r="A241" t="s">
        <v>79</v>
      </c>
      <c r="B241" t="s">
        <v>486</v>
      </c>
      <c r="C241" s="4" t="s">
        <v>489</v>
      </c>
      <c r="D241" t="s">
        <v>57</v>
      </c>
      <c r="E241" t="s">
        <v>112</v>
      </c>
      <c r="F241" s="2">
        <v>46301</v>
      </c>
      <c r="G241" s="2"/>
      <c r="H241" s="2"/>
      <c r="I241" s="4" t="s">
        <v>489</v>
      </c>
    </row>
    <row r="242" spans="1:9" x14ac:dyDescent="0.45">
      <c r="A242" t="s">
        <v>79</v>
      </c>
      <c r="B242" t="s">
        <v>490</v>
      </c>
      <c r="C242" s="4" t="s">
        <v>491</v>
      </c>
      <c r="D242" t="s">
        <v>57</v>
      </c>
      <c r="E242" t="s">
        <v>112</v>
      </c>
      <c r="F242" s="2">
        <v>46301</v>
      </c>
      <c r="G242" s="2"/>
      <c r="H242" s="2"/>
      <c r="I242" s="4" t="s">
        <v>491</v>
      </c>
    </row>
    <row r="243" spans="1:9" x14ac:dyDescent="0.45">
      <c r="A243" t="s">
        <v>79</v>
      </c>
      <c r="B243" t="s">
        <v>490</v>
      </c>
      <c r="C243" s="4" t="s">
        <v>492</v>
      </c>
      <c r="D243" t="s">
        <v>57</v>
      </c>
      <c r="E243" t="s">
        <v>112</v>
      </c>
      <c r="F243" s="2">
        <v>46301</v>
      </c>
      <c r="G243" s="2"/>
      <c r="H243" s="2"/>
      <c r="I243" s="4" t="s">
        <v>492</v>
      </c>
    </row>
    <row r="244" spans="1:9" x14ac:dyDescent="0.45">
      <c r="A244" t="s">
        <v>79</v>
      </c>
      <c r="B244" t="s">
        <v>490</v>
      </c>
      <c r="C244" s="4" t="s">
        <v>493</v>
      </c>
      <c r="D244" t="s">
        <v>57</v>
      </c>
      <c r="E244" t="s">
        <v>112</v>
      </c>
      <c r="F244" s="2">
        <v>46301</v>
      </c>
      <c r="G244" s="2"/>
      <c r="H244" s="2"/>
      <c r="I244" s="4" t="s">
        <v>493</v>
      </c>
    </row>
    <row r="245" spans="1:9" x14ac:dyDescent="0.45">
      <c r="A245" t="s">
        <v>79</v>
      </c>
      <c r="B245" t="s">
        <v>490</v>
      </c>
      <c r="C245" s="4" t="s">
        <v>494</v>
      </c>
      <c r="D245" t="s">
        <v>57</v>
      </c>
      <c r="E245" t="s">
        <v>112</v>
      </c>
      <c r="F245" s="2">
        <v>46301</v>
      </c>
      <c r="G245" s="2"/>
      <c r="H245" s="2"/>
      <c r="I245" s="4" t="s">
        <v>494</v>
      </c>
    </row>
    <row r="246" spans="1:9" x14ac:dyDescent="0.45">
      <c r="A246" t="s">
        <v>79</v>
      </c>
      <c r="B246" t="s">
        <v>490</v>
      </c>
      <c r="C246" s="4" t="s">
        <v>495</v>
      </c>
      <c r="D246" t="s">
        <v>57</v>
      </c>
      <c r="E246" t="s">
        <v>112</v>
      </c>
      <c r="F246" s="2">
        <v>46301</v>
      </c>
      <c r="G246" s="2"/>
      <c r="H246" s="2"/>
      <c r="I246" s="4" t="s">
        <v>495</v>
      </c>
    </row>
    <row r="247" spans="1:9" x14ac:dyDescent="0.45">
      <c r="A247" t="s">
        <v>79</v>
      </c>
      <c r="B247" t="s">
        <v>490</v>
      </c>
      <c r="C247" s="4" t="s">
        <v>496</v>
      </c>
      <c r="D247" t="s">
        <v>57</v>
      </c>
      <c r="E247" t="s">
        <v>112</v>
      </c>
      <c r="F247" s="2">
        <v>46301</v>
      </c>
      <c r="G247" s="2"/>
      <c r="H247" s="2"/>
      <c r="I247" s="4" t="s">
        <v>496</v>
      </c>
    </row>
    <row r="248" spans="1:9" x14ac:dyDescent="0.45">
      <c r="A248" t="s">
        <v>79</v>
      </c>
      <c r="B248" t="s">
        <v>490</v>
      </c>
      <c r="C248" s="4" t="s">
        <v>497</v>
      </c>
      <c r="D248" t="s">
        <v>57</v>
      </c>
      <c r="E248" t="s">
        <v>112</v>
      </c>
      <c r="F248" s="2">
        <v>46301</v>
      </c>
      <c r="G248" s="2"/>
      <c r="H248" s="2"/>
      <c r="I248" s="4" t="s">
        <v>498</v>
      </c>
    </row>
    <row r="249" spans="1:9" x14ac:dyDescent="0.45">
      <c r="A249" t="s">
        <v>79</v>
      </c>
      <c r="B249" t="s">
        <v>490</v>
      </c>
      <c r="C249" s="4" t="s">
        <v>499</v>
      </c>
      <c r="D249" t="s">
        <v>57</v>
      </c>
      <c r="E249" t="s">
        <v>112</v>
      </c>
      <c r="F249" s="2">
        <v>46301</v>
      </c>
      <c r="G249" s="2"/>
      <c r="H249" s="2"/>
      <c r="I249" s="4" t="s">
        <v>499</v>
      </c>
    </row>
    <row r="250" spans="1:9" x14ac:dyDescent="0.45">
      <c r="A250" t="s">
        <v>79</v>
      </c>
      <c r="B250" t="s">
        <v>490</v>
      </c>
      <c r="C250" s="4" t="s">
        <v>500</v>
      </c>
      <c r="D250" t="s">
        <v>57</v>
      </c>
      <c r="E250" t="s">
        <v>112</v>
      </c>
      <c r="F250" s="2">
        <v>46301</v>
      </c>
      <c r="G250" s="2"/>
      <c r="H250" s="2"/>
      <c r="I250" s="4" t="s">
        <v>500</v>
      </c>
    </row>
    <row r="251" spans="1:9" x14ac:dyDescent="0.45">
      <c r="A251" t="s">
        <v>79</v>
      </c>
      <c r="B251" t="s">
        <v>490</v>
      </c>
      <c r="C251" s="4" t="s">
        <v>501</v>
      </c>
      <c r="D251" t="s">
        <v>57</v>
      </c>
      <c r="E251" t="s">
        <v>112</v>
      </c>
      <c r="F251" s="2">
        <v>46301</v>
      </c>
      <c r="G251" s="2"/>
      <c r="H251" s="2"/>
      <c r="I251" s="4" t="s">
        <v>501</v>
      </c>
    </row>
    <row r="252" spans="1:9" x14ac:dyDescent="0.45">
      <c r="A252" t="s">
        <v>79</v>
      </c>
      <c r="B252" t="s">
        <v>490</v>
      </c>
      <c r="C252" s="4" t="s">
        <v>502</v>
      </c>
      <c r="D252" t="s">
        <v>57</v>
      </c>
      <c r="E252" t="s">
        <v>112</v>
      </c>
      <c r="F252" s="2">
        <v>46301</v>
      </c>
      <c r="G252" s="2"/>
      <c r="H252" s="2"/>
      <c r="I252" s="4" t="s">
        <v>502</v>
      </c>
    </row>
    <row r="253" spans="1:9" x14ac:dyDescent="0.45">
      <c r="A253" t="s">
        <v>79</v>
      </c>
      <c r="B253" t="s">
        <v>490</v>
      </c>
      <c r="C253" s="4" t="s">
        <v>503</v>
      </c>
      <c r="D253" t="s">
        <v>57</v>
      </c>
      <c r="E253" t="s">
        <v>112</v>
      </c>
      <c r="F253" s="2">
        <v>46301</v>
      </c>
      <c r="G253" s="2"/>
      <c r="H253" s="2"/>
      <c r="I253" s="4" t="s">
        <v>503</v>
      </c>
    </row>
    <row r="254" spans="1:9" x14ac:dyDescent="0.45">
      <c r="A254" t="s">
        <v>79</v>
      </c>
      <c r="B254" t="s">
        <v>490</v>
      </c>
      <c r="C254" s="4" t="s">
        <v>504</v>
      </c>
      <c r="D254" t="s">
        <v>57</v>
      </c>
      <c r="E254" t="s">
        <v>112</v>
      </c>
      <c r="F254" s="2">
        <v>46301</v>
      </c>
      <c r="G254" s="2"/>
      <c r="H254" s="2"/>
      <c r="I254" s="4" t="s">
        <v>504</v>
      </c>
    </row>
    <row r="255" spans="1:9" x14ac:dyDescent="0.45">
      <c r="A255" t="s">
        <v>79</v>
      </c>
      <c r="B255" t="s">
        <v>490</v>
      </c>
      <c r="C255" s="4" t="s">
        <v>505</v>
      </c>
      <c r="D255" t="s">
        <v>57</v>
      </c>
      <c r="E255" t="s">
        <v>112</v>
      </c>
      <c r="F255" s="2">
        <v>46301</v>
      </c>
      <c r="G255" s="2"/>
      <c r="H255" s="2"/>
      <c r="I255" s="4" t="s">
        <v>505</v>
      </c>
    </row>
    <row r="256" spans="1:9" x14ac:dyDescent="0.45">
      <c r="A256" t="s">
        <v>19</v>
      </c>
      <c r="B256" t="s">
        <v>506</v>
      </c>
      <c r="C256" t="s">
        <v>507</v>
      </c>
      <c r="D256" t="s">
        <v>57</v>
      </c>
      <c r="E256" t="s">
        <v>112</v>
      </c>
      <c r="F256" s="2">
        <v>46301</v>
      </c>
      <c r="G256" s="2"/>
      <c r="H256" s="2"/>
      <c r="I256" t="s">
        <v>418</v>
      </c>
    </row>
    <row r="257" spans="1:9" x14ac:dyDescent="0.45">
      <c r="A257" t="s">
        <v>19</v>
      </c>
      <c r="B257" t="s">
        <v>506</v>
      </c>
      <c r="C257" t="s">
        <v>508</v>
      </c>
      <c r="D257" t="s">
        <v>57</v>
      </c>
      <c r="E257" t="s">
        <v>112</v>
      </c>
      <c r="F257" s="2">
        <v>46301</v>
      </c>
      <c r="G257" s="2"/>
      <c r="H257" s="2"/>
      <c r="I257" t="s">
        <v>418</v>
      </c>
    </row>
    <row r="258" spans="1:9" x14ac:dyDescent="0.45">
      <c r="A258" t="s">
        <v>79</v>
      </c>
      <c r="B258" t="s">
        <v>509</v>
      </c>
      <c r="C258" s="4" t="s">
        <v>510</v>
      </c>
      <c r="D258" t="s">
        <v>57</v>
      </c>
      <c r="E258" t="s">
        <v>112</v>
      </c>
      <c r="F258" s="2">
        <v>46301</v>
      </c>
      <c r="G258" s="2"/>
      <c r="H258" s="2"/>
      <c r="I258" s="4" t="s">
        <v>510</v>
      </c>
    </row>
    <row r="259" spans="1:9" x14ac:dyDescent="0.45">
      <c r="A259" t="s">
        <v>79</v>
      </c>
      <c r="B259" t="s">
        <v>511</v>
      </c>
      <c r="C259" s="4" t="s">
        <v>512</v>
      </c>
      <c r="D259" t="s">
        <v>57</v>
      </c>
      <c r="E259" t="s">
        <v>112</v>
      </c>
      <c r="F259" s="2">
        <v>46301</v>
      </c>
      <c r="G259" s="2"/>
      <c r="H259" s="2"/>
      <c r="I259" s="4" t="s">
        <v>512</v>
      </c>
    </row>
    <row r="260" spans="1:9" x14ac:dyDescent="0.45">
      <c r="A260" t="s">
        <v>79</v>
      </c>
      <c r="B260" t="s">
        <v>513</v>
      </c>
      <c r="C260" t="s">
        <v>514</v>
      </c>
      <c r="D260" t="s">
        <v>57</v>
      </c>
      <c r="E260" t="s">
        <v>112</v>
      </c>
      <c r="F260" s="2">
        <v>46301</v>
      </c>
      <c r="G260" s="2"/>
      <c r="H260" s="2"/>
      <c r="I260" s="4" t="s">
        <v>515</v>
      </c>
    </row>
    <row r="261" spans="1:9" x14ac:dyDescent="0.45">
      <c r="A261" t="s">
        <v>19</v>
      </c>
      <c r="B261" t="s">
        <v>516</v>
      </c>
      <c r="C261" t="s">
        <v>517</v>
      </c>
      <c r="D261" t="s">
        <v>57</v>
      </c>
      <c r="E261" t="s">
        <v>112</v>
      </c>
      <c r="F261" s="2">
        <v>46301</v>
      </c>
      <c r="G261" s="2"/>
      <c r="H261" s="2"/>
      <c r="I261" t="s">
        <v>418</v>
      </c>
    </row>
    <row r="262" spans="1:9" x14ac:dyDescent="0.45">
      <c r="A262" t="s">
        <v>99</v>
      </c>
      <c r="B262" t="s">
        <v>518</v>
      </c>
      <c r="C262" t="s">
        <v>519</v>
      </c>
      <c r="D262" t="s">
        <v>57</v>
      </c>
      <c r="E262" t="s">
        <v>112</v>
      </c>
      <c r="F262" s="2">
        <v>46301</v>
      </c>
      <c r="G262" s="2"/>
      <c r="H262" s="2"/>
      <c r="I262" t="s">
        <v>418</v>
      </c>
    </row>
    <row r="263" spans="1:9" x14ac:dyDescent="0.45">
      <c r="A263" t="s">
        <v>19</v>
      </c>
      <c r="B263" t="s">
        <v>518</v>
      </c>
      <c r="C263" t="s">
        <v>520</v>
      </c>
      <c r="D263" t="s">
        <v>57</v>
      </c>
      <c r="E263" t="s">
        <v>112</v>
      </c>
      <c r="F263" s="2">
        <v>46301</v>
      </c>
      <c r="G263" s="2"/>
      <c r="H263" s="2"/>
      <c r="I263" t="s">
        <v>418</v>
      </c>
    </row>
    <row r="264" spans="1:9" x14ac:dyDescent="0.45">
      <c r="A264" t="s">
        <v>19</v>
      </c>
      <c r="B264" t="s">
        <v>521</v>
      </c>
      <c r="C264" s="4" t="s">
        <v>522</v>
      </c>
      <c r="D264" t="s">
        <v>57</v>
      </c>
      <c r="E264" t="s">
        <v>112</v>
      </c>
      <c r="F264" s="2">
        <v>46301</v>
      </c>
      <c r="G264" s="2"/>
      <c r="H264" s="2"/>
      <c r="I264" s="4" t="s">
        <v>522</v>
      </c>
    </row>
    <row r="265" spans="1:9" x14ac:dyDescent="0.45">
      <c r="A265" t="s">
        <v>79</v>
      </c>
      <c r="B265" t="s">
        <v>523</v>
      </c>
      <c r="C265" s="4" t="s">
        <v>524</v>
      </c>
      <c r="D265" t="s">
        <v>57</v>
      </c>
      <c r="E265" t="s">
        <v>525</v>
      </c>
      <c r="F265" s="2">
        <v>46301</v>
      </c>
      <c r="G265" s="2"/>
      <c r="H265" s="2"/>
      <c r="I265" s="4" t="s">
        <v>524</v>
      </c>
    </row>
    <row r="266" spans="1:9" x14ac:dyDescent="0.45">
      <c r="A266" t="s">
        <v>19</v>
      </c>
      <c r="B266" t="s">
        <v>416</v>
      </c>
      <c r="C266" t="s">
        <v>526</v>
      </c>
      <c r="D266" t="s">
        <v>57</v>
      </c>
      <c r="E266" t="s">
        <v>23</v>
      </c>
      <c r="F266" s="2">
        <v>46301</v>
      </c>
      <c r="G266" s="2"/>
      <c r="H266" s="2"/>
      <c r="I266" t="s">
        <v>418</v>
      </c>
    </row>
    <row r="267" spans="1:9" x14ac:dyDescent="0.45">
      <c r="A267" t="s">
        <v>19</v>
      </c>
      <c r="B267" t="s">
        <v>416</v>
      </c>
      <c r="C267" t="s">
        <v>527</v>
      </c>
      <c r="D267" t="s">
        <v>57</v>
      </c>
      <c r="E267" t="s">
        <v>23</v>
      </c>
      <c r="F267" s="2">
        <v>46301</v>
      </c>
      <c r="G267" s="2"/>
      <c r="H267" s="2"/>
      <c r="I267" t="s">
        <v>418</v>
      </c>
    </row>
    <row r="268" spans="1:9" x14ac:dyDescent="0.45">
      <c r="A268" t="s">
        <v>19</v>
      </c>
      <c r="B268" t="s">
        <v>416</v>
      </c>
      <c r="C268" t="s">
        <v>528</v>
      </c>
      <c r="D268" t="s">
        <v>57</v>
      </c>
      <c r="E268" t="s">
        <v>23</v>
      </c>
      <c r="F268" s="2">
        <v>46301</v>
      </c>
      <c r="G268" s="2"/>
      <c r="H268" s="2"/>
      <c r="I268" t="s">
        <v>418</v>
      </c>
    </row>
    <row r="269" spans="1:9" x14ac:dyDescent="0.45">
      <c r="A269" t="s">
        <v>19</v>
      </c>
      <c r="B269" t="s">
        <v>416</v>
      </c>
      <c r="C269" t="s">
        <v>529</v>
      </c>
      <c r="D269" t="s">
        <v>57</v>
      </c>
      <c r="E269" t="s">
        <v>23</v>
      </c>
      <c r="F269" s="2">
        <v>46301</v>
      </c>
      <c r="G269" s="2"/>
      <c r="H269" s="2"/>
      <c r="I269" t="s">
        <v>418</v>
      </c>
    </row>
    <row r="270" spans="1:9" x14ac:dyDescent="0.45">
      <c r="A270" t="s">
        <v>19</v>
      </c>
      <c r="B270" t="s">
        <v>416</v>
      </c>
      <c r="C270" t="s">
        <v>530</v>
      </c>
      <c r="D270" t="s">
        <v>57</v>
      </c>
      <c r="E270" t="s">
        <v>23</v>
      </c>
      <c r="F270" s="2">
        <v>46301</v>
      </c>
      <c r="G270" s="2"/>
      <c r="H270" s="2"/>
      <c r="I270" t="s">
        <v>418</v>
      </c>
    </row>
    <row r="271" spans="1:9" x14ac:dyDescent="0.45">
      <c r="A271" t="s">
        <v>19</v>
      </c>
      <c r="B271" t="s">
        <v>416</v>
      </c>
      <c r="C271" t="s">
        <v>531</v>
      </c>
      <c r="D271" t="s">
        <v>57</v>
      </c>
      <c r="E271" t="s">
        <v>23</v>
      </c>
      <c r="F271" s="2">
        <v>46301</v>
      </c>
      <c r="G271" s="2"/>
      <c r="H271" s="2"/>
      <c r="I271" t="s">
        <v>418</v>
      </c>
    </row>
    <row r="272" spans="1:9" x14ac:dyDescent="0.45">
      <c r="A272" t="s">
        <v>19</v>
      </c>
      <c r="B272" t="s">
        <v>416</v>
      </c>
      <c r="C272" t="s">
        <v>532</v>
      </c>
      <c r="D272" t="s">
        <v>57</v>
      </c>
      <c r="E272" t="s">
        <v>23</v>
      </c>
      <c r="F272" s="2">
        <v>46301</v>
      </c>
      <c r="G272" s="2"/>
      <c r="H272" s="2"/>
      <c r="I272" t="s">
        <v>418</v>
      </c>
    </row>
    <row r="273" spans="1:9" x14ac:dyDescent="0.45">
      <c r="A273" t="s">
        <v>19</v>
      </c>
      <c r="B273" t="s">
        <v>416</v>
      </c>
      <c r="C273" t="s">
        <v>533</v>
      </c>
      <c r="D273" t="s">
        <v>57</v>
      </c>
      <c r="E273" t="s">
        <v>23</v>
      </c>
      <c r="F273" s="2">
        <v>46301</v>
      </c>
      <c r="G273" s="2"/>
      <c r="H273" s="2"/>
      <c r="I273" t="s">
        <v>418</v>
      </c>
    </row>
    <row r="274" spans="1:9" x14ac:dyDescent="0.45">
      <c r="A274" t="s">
        <v>19</v>
      </c>
      <c r="B274" t="s">
        <v>416</v>
      </c>
      <c r="C274" t="s">
        <v>534</v>
      </c>
      <c r="D274" t="s">
        <v>57</v>
      </c>
      <c r="E274" t="s">
        <v>23</v>
      </c>
      <c r="F274" s="2">
        <v>46301</v>
      </c>
      <c r="G274" s="2"/>
      <c r="H274" s="2"/>
      <c r="I274" t="s">
        <v>418</v>
      </c>
    </row>
    <row r="275" spans="1:9" x14ac:dyDescent="0.45">
      <c r="A275" t="s">
        <v>19</v>
      </c>
      <c r="B275" t="s">
        <v>416</v>
      </c>
      <c r="C275" t="s">
        <v>535</v>
      </c>
      <c r="D275" t="s">
        <v>57</v>
      </c>
      <c r="E275" t="s">
        <v>23</v>
      </c>
      <c r="F275" s="2">
        <v>46301</v>
      </c>
      <c r="G275" s="2"/>
      <c r="H275" s="2"/>
      <c r="I275" t="s">
        <v>418</v>
      </c>
    </row>
    <row r="276" spans="1:9" x14ac:dyDescent="0.45">
      <c r="A276" t="s">
        <v>19</v>
      </c>
      <c r="B276" t="s">
        <v>416</v>
      </c>
      <c r="C276" t="s">
        <v>536</v>
      </c>
      <c r="D276" t="s">
        <v>57</v>
      </c>
      <c r="E276" t="s">
        <v>23</v>
      </c>
      <c r="F276" s="2">
        <v>46301</v>
      </c>
      <c r="G276" s="2"/>
      <c r="H276" s="2"/>
      <c r="I276" t="s">
        <v>418</v>
      </c>
    </row>
    <row r="277" spans="1:9" x14ac:dyDescent="0.45">
      <c r="A277" t="s">
        <v>19</v>
      </c>
      <c r="B277" t="s">
        <v>416</v>
      </c>
      <c r="C277" t="s">
        <v>537</v>
      </c>
      <c r="D277" t="s">
        <v>57</v>
      </c>
      <c r="E277" t="s">
        <v>23</v>
      </c>
      <c r="F277" s="2">
        <v>46301</v>
      </c>
      <c r="G277" s="2"/>
      <c r="H277" s="2"/>
      <c r="I277" t="s">
        <v>418</v>
      </c>
    </row>
    <row r="278" spans="1:9" x14ac:dyDescent="0.45">
      <c r="A278" t="s">
        <v>19</v>
      </c>
      <c r="B278" t="s">
        <v>416</v>
      </c>
      <c r="C278" t="s">
        <v>538</v>
      </c>
      <c r="D278" t="s">
        <v>57</v>
      </c>
      <c r="E278" t="s">
        <v>23</v>
      </c>
      <c r="F278" s="2">
        <v>46301</v>
      </c>
      <c r="G278" s="2"/>
      <c r="H278" s="2"/>
      <c r="I278" t="s">
        <v>418</v>
      </c>
    </row>
    <row r="279" spans="1:9" x14ac:dyDescent="0.45">
      <c r="A279" t="s">
        <v>19</v>
      </c>
      <c r="B279" t="s">
        <v>416</v>
      </c>
      <c r="C279" t="s">
        <v>539</v>
      </c>
      <c r="D279" t="s">
        <v>57</v>
      </c>
      <c r="E279" t="s">
        <v>23</v>
      </c>
      <c r="F279" s="2">
        <v>46301</v>
      </c>
      <c r="G279" s="2"/>
      <c r="H279" s="2"/>
      <c r="I279" t="s">
        <v>418</v>
      </c>
    </row>
    <row r="280" spans="1:9" x14ac:dyDescent="0.45">
      <c r="A280" t="s">
        <v>19</v>
      </c>
      <c r="B280" t="s">
        <v>416</v>
      </c>
      <c r="C280" t="s">
        <v>540</v>
      </c>
      <c r="D280" t="s">
        <v>57</v>
      </c>
      <c r="E280" t="s">
        <v>23</v>
      </c>
      <c r="F280" s="2">
        <v>46301</v>
      </c>
      <c r="G280" s="2"/>
      <c r="H280" s="2"/>
      <c r="I280" t="s">
        <v>418</v>
      </c>
    </row>
    <row r="281" spans="1:9" x14ac:dyDescent="0.45">
      <c r="A281" t="s">
        <v>19</v>
      </c>
      <c r="B281" t="s">
        <v>416</v>
      </c>
      <c r="C281" t="s">
        <v>541</v>
      </c>
      <c r="D281" t="s">
        <v>57</v>
      </c>
      <c r="E281" t="s">
        <v>23</v>
      </c>
      <c r="F281" s="2">
        <v>46301</v>
      </c>
      <c r="G281" s="2"/>
      <c r="H281" s="2"/>
      <c r="I281" t="s">
        <v>418</v>
      </c>
    </row>
    <row r="282" spans="1:9" x14ac:dyDescent="0.45">
      <c r="A282" t="s">
        <v>19</v>
      </c>
      <c r="B282" t="s">
        <v>416</v>
      </c>
      <c r="C282" t="s">
        <v>542</v>
      </c>
      <c r="D282" t="s">
        <v>57</v>
      </c>
      <c r="E282" t="s">
        <v>23</v>
      </c>
      <c r="F282" s="2">
        <v>46301</v>
      </c>
      <c r="G282" s="2"/>
      <c r="H282" s="2"/>
      <c r="I282" t="s">
        <v>418</v>
      </c>
    </row>
    <row r="283" spans="1:9" x14ac:dyDescent="0.45">
      <c r="A283" t="s">
        <v>19</v>
      </c>
      <c r="B283" t="s">
        <v>416</v>
      </c>
      <c r="C283" t="s">
        <v>543</v>
      </c>
      <c r="D283" t="s">
        <v>57</v>
      </c>
      <c r="E283" t="s">
        <v>23</v>
      </c>
      <c r="F283" s="2">
        <v>46301</v>
      </c>
      <c r="G283" s="2"/>
      <c r="H283" s="2"/>
      <c r="I283" t="s">
        <v>418</v>
      </c>
    </row>
    <row r="284" spans="1:9" x14ac:dyDescent="0.45">
      <c r="A284" t="s">
        <v>19</v>
      </c>
      <c r="B284" t="s">
        <v>416</v>
      </c>
      <c r="C284" t="s">
        <v>544</v>
      </c>
      <c r="D284" t="s">
        <v>57</v>
      </c>
      <c r="E284" t="s">
        <v>23</v>
      </c>
      <c r="F284" s="2">
        <v>46301</v>
      </c>
      <c r="G284" s="2"/>
      <c r="H284" s="2"/>
      <c r="I284" t="s">
        <v>418</v>
      </c>
    </row>
    <row r="285" spans="1:9" x14ac:dyDescent="0.45">
      <c r="A285" t="s">
        <v>19</v>
      </c>
      <c r="B285" t="s">
        <v>416</v>
      </c>
      <c r="C285" t="s">
        <v>545</v>
      </c>
      <c r="D285" t="s">
        <v>57</v>
      </c>
      <c r="E285" t="s">
        <v>23</v>
      </c>
      <c r="F285" s="2">
        <v>46301</v>
      </c>
      <c r="G285" s="2"/>
      <c r="H285" s="2"/>
      <c r="I285" t="s">
        <v>418</v>
      </c>
    </row>
    <row r="286" spans="1:9" x14ac:dyDescent="0.45">
      <c r="A286" t="s">
        <v>19</v>
      </c>
      <c r="B286" t="s">
        <v>416</v>
      </c>
      <c r="C286" t="s">
        <v>546</v>
      </c>
      <c r="D286" t="s">
        <v>57</v>
      </c>
      <c r="E286" t="s">
        <v>23</v>
      </c>
      <c r="F286" s="2">
        <v>46301</v>
      </c>
      <c r="G286" s="2"/>
      <c r="H286" s="2"/>
      <c r="I286" t="s">
        <v>418</v>
      </c>
    </row>
    <row r="287" spans="1:9" x14ac:dyDescent="0.45">
      <c r="A287" t="s">
        <v>19</v>
      </c>
      <c r="B287" t="s">
        <v>416</v>
      </c>
      <c r="C287" t="s">
        <v>547</v>
      </c>
      <c r="D287" t="s">
        <v>57</v>
      </c>
      <c r="E287" t="s">
        <v>23</v>
      </c>
      <c r="F287" s="2">
        <v>46301</v>
      </c>
      <c r="G287" s="2"/>
      <c r="H287" s="2"/>
      <c r="I287" t="s">
        <v>418</v>
      </c>
    </row>
    <row r="288" spans="1:9" x14ac:dyDescent="0.45">
      <c r="A288" t="s">
        <v>19</v>
      </c>
      <c r="B288" t="s">
        <v>416</v>
      </c>
      <c r="C288" t="s">
        <v>548</v>
      </c>
      <c r="D288" t="s">
        <v>57</v>
      </c>
      <c r="E288" t="s">
        <v>23</v>
      </c>
      <c r="F288" s="2">
        <v>46301</v>
      </c>
      <c r="G288" s="2"/>
      <c r="H288" s="2"/>
      <c r="I288" t="s">
        <v>418</v>
      </c>
    </row>
    <row r="289" spans="1:9" x14ac:dyDescent="0.45">
      <c r="A289" t="s">
        <v>19</v>
      </c>
      <c r="B289" t="s">
        <v>416</v>
      </c>
      <c r="C289" t="s">
        <v>549</v>
      </c>
      <c r="D289" t="s">
        <v>57</v>
      </c>
      <c r="E289" t="s">
        <v>23</v>
      </c>
      <c r="F289" s="2">
        <v>46301</v>
      </c>
      <c r="G289" s="2"/>
      <c r="H289" s="2"/>
      <c r="I289" t="s">
        <v>418</v>
      </c>
    </row>
    <row r="290" spans="1:9" x14ac:dyDescent="0.45">
      <c r="A290" t="s">
        <v>19</v>
      </c>
      <c r="B290" t="s">
        <v>416</v>
      </c>
      <c r="C290" t="s">
        <v>550</v>
      </c>
      <c r="D290" t="s">
        <v>57</v>
      </c>
      <c r="E290" t="s">
        <v>23</v>
      </c>
      <c r="F290" s="2">
        <v>46301</v>
      </c>
      <c r="G290" s="2"/>
      <c r="H290" s="2"/>
      <c r="I290" t="s">
        <v>418</v>
      </c>
    </row>
    <row r="291" spans="1:9" x14ac:dyDescent="0.45">
      <c r="A291" t="s">
        <v>19</v>
      </c>
      <c r="B291" t="s">
        <v>416</v>
      </c>
      <c r="C291" t="s">
        <v>551</v>
      </c>
      <c r="D291" t="s">
        <v>57</v>
      </c>
      <c r="E291" t="s">
        <v>23</v>
      </c>
      <c r="F291" s="2">
        <v>46301</v>
      </c>
      <c r="G291" s="2"/>
      <c r="H291" s="2"/>
      <c r="I291" t="s">
        <v>418</v>
      </c>
    </row>
    <row r="292" spans="1:9" x14ac:dyDescent="0.45">
      <c r="A292" t="s">
        <v>19</v>
      </c>
      <c r="B292" t="s">
        <v>416</v>
      </c>
      <c r="C292" t="s">
        <v>552</v>
      </c>
      <c r="D292" t="s">
        <v>57</v>
      </c>
      <c r="E292" t="s">
        <v>23</v>
      </c>
      <c r="F292" s="2">
        <v>46301</v>
      </c>
      <c r="G292" s="2"/>
      <c r="H292" s="2"/>
      <c r="I292" t="s">
        <v>418</v>
      </c>
    </row>
    <row r="293" spans="1:9" x14ac:dyDescent="0.45">
      <c r="A293" t="s">
        <v>19</v>
      </c>
      <c r="B293" t="s">
        <v>416</v>
      </c>
      <c r="C293" t="s">
        <v>553</v>
      </c>
      <c r="D293" t="s">
        <v>57</v>
      </c>
      <c r="E293" t="s">
        <v>23</v>
      </c>
      <c r="F293" s="2">
        <v>46301</v>
      </c>
      <c r="G293" s="2"/>
      <c r="H293" s="2"/>
      <c r="I293" t="s">
        <v>418</v>
      </c>
    </row>
    <row r="294" spans="1:9" x14ac:dyDescent="0.45">
      <c r="A294" t="s">
        <v>19</v>
      </c>
      <c r="B294" t="s">
        <v>416</v>
      </c>
      <c r="C294" t="s">
        <v>554</v>
      </c>
      <c r="D294" t="s">
        <v>57</v>
      </c>
      <c r="E294" t="s">
        <v>23</v>
      </c>
      <c r="F294" s="2">
        <v>46301</v>
      </c>
      <c r="G294" s="2"/>
      <c r="H294" s="2"/>
      <c r="I294" t="s">
        <v>418</v>
      </c>
    </row>
    <row r="295" spans="1:9" x14ac:dyDescent="0.45">
      <c r="A295" t="s">
        <v>19</v>
      </c>
      <c r="B295" t="s">
        <v>416</v>
      </c>
      <c r="C295" t="s">
        <v>555</v>
      </c>
      <c r="D295" t="s">
        <v>57</v>
      </c>
      <c r="E295" t="s">
        <v>23</v>
      </c>
      <c r="F295" s="2">
        <v>46301</v>
      </c>
      <c r="G295" s="2"/>
      <c r="H295" s="2"/>
      <c r="I295" t="s">
        <v>418</v>
      </c>
    </row>
    <row r="296" spans="1:9" x14ac:dyDescent="0.45">
      <c r="A296" t="s">
        <v>19</v>
      </c>
      <c r="B296" t="s">
        <v>416</v>
      </c>
      <c r="C296" t="s">
        <v>556</v>
      </c>
      <c r="D296" t="s">
        <v>57</v>
      </c>
      <c r="E296" t="s">
        <v>23</v>
      </c>
      <c r="F296" s="2">
        <v>46301</v>
      </c>
      <c r="G296" s="2"/>
      <c r="H296" s="2"/>
      <c r="I296" t="s">
        <v>418</v>
      </c>
    </row>
    <row r="297" spans="1:9" x14ac:dyDescent="0.45">
      <c r="A297" t="s">
        <v>19</v>
      </c>
      <c r="B297" t="s">
        <v>416</v>
      </c>
      <c r="C297" t="s">
        <v>557</v>
      </c>
      <c r="D297" t="s">
        <v>57</v>
      </c>
      <c r="E297" t="s">
        <v>23</v>
      </c>
      <c r="F297" s="2">
        <v>46301</v>
      </c>
      <c r="G297" s="2"/>
      <c r="H297" s="2"/>
      <c r="I297" t="s">
        <v>418</v>
      </c>
    </row>
    <row r="298" spans="1:9" x14ac:dyDescent="0.45">
      <c r="A298" t="s">
        <v>19</v>
      </c>
      <c r="B298" t="s">
        <v>416</v>
      </c>
      <c r="C298" t="s">
        <v>558</v>
      </c>
      <c r="D298" t="s">
        <v>57</v>
      </c>
      <c r="E298" t="s">
        <v>23</v>
      </c>
      <c r="F298" s="2">
        <v>46301</v>
      </c>
      <c r="G298" s="2"/>
      <c r="H298" s="2"/>
      <c r="I298" t="s">
        <v>418</v>
      </c>
    </row>
    <row r="299" spans="1:9" x14ac:dyDescent="0.45">
      <c r="A299" t="s">
        <v>19</v>
      </c>
      <c r="B299" t="s">
        <v>416</v>
      </c>
      <c r="C299" t="s">
        <v>559</v>
      </c>
      <c r="D299" t="s">
        <v>57</v>
      </c>
      <c r="E299" t="s">
        <v>23</v>
      </c>
      <c r="F299" s="2">
        <v>46301</v>
      </c>
      <c r="G299" s="2"/>
      <c r="H299" s="2"/>
      <c r="I299" t="s">
        <v>418</v>
      </c>
    </row>
    <row r="300" spans="1:9" x14ac:dyDescent="0.45">
      <c r="A300" t="s">
        <v>19</v>
      </c>
      <c r="B300" t="s">
        <v>416</v>
      </c>
      <c r="C300" t="s">
        <v>560</v>
      </c>
      <c r="D300" t="s">
        <v>57</v>
      </c>
      <c r="E300" t="s">
        <v>23</v>
      </c>
      <c r="F300" s="2">
        <v>46301</v>
      </c>
      <c r="G300" s="2"/>
      <c r="H300" s="2"/>
      <c r="I300" t="s">
        <v>418</v>
      </c>
    </row>
    <row r="301" spans="1:9" x14ac:dyDescent="0.45">
      <c r="A301" t="s">
        <v>19</v>
      </c>
      <c r="B301" t="s">
        <v>416</v>
      </c>
      <c r="C301" t="s">
        <v>561</v>
      </c>
      <c r="D301" t="s">
        <v>57</v>
      </c>
      <c r="E301" t="s">
        <v>23</v>
      </c>
      <c r="F301" s="2">
        <v>46301</v>
      </c>
      <c r="G301" s="2"/>
      <c r="H301" s="2"/>
      <c r="I301" t="s">
        <v>418</v>
      </c>
    </row>
    <row r="302" spans="1:9" x14ac:dyDescent="0.45">
      <c r="A302" t="s">
        <v>19</v>
      </c>
      <c r="B302" t="s">
        <v>416</v>
      </c>
      <c r="C302" t="s">
        <v>562</v>
      </c>
      <c r="D302" t="s">
        <v>57</v>
      </c>
      <c r="E302" t="s">
        <v>23</v>
      </c>
      <c r="F302" s="2">
        <v>46301</v>
      </c>
      <c r="G302" s="2"/>
      <c r="H302" s="2"/>
      <c r="I302" t="s">
        <v>418</v>
      </c>
    </row>
    <row r="303" spans="1:9" x14ac:dyDescent="0.45">
      <c r="A303" t="s">
        <v>19</v>
      </c>
      <c r="B303" t="s">
        <v>416</v>
      </c>
      <c r="C303" t="s">
        <v>563</v>
      </c>
      <c r="D303" t="s">
        <v>57</v>
      </c>
      <c r="E303" t="s">
        <v>23</v>
      </c>
      <c r="F303" s="2">
        <v>46301</v>
      </c>
      <c r="G303" s="2"/>
      <c r="H303" s="2"/>
      <c r="I303" t="s">
        <v>418</v>
      </c>
    </row>
    <row r="304" spans="1:9" x14ac:dyDescent="0.45">
      <c r="A304" t="s">
        <v>19</v>
      </c>
      <c r="B304" t="s">
        <v>416</v>
      </c>
      <c r="C304" t="s">
        <v>564</v>
      </c>
      <c r="D304" t="s">
        <v>57</v>
      </c>
      <c r="E304" t="s">
        <v>23</v>
      </c>
      <c r="F304" s="2">
        <v>46301</v>
      </c>
      <c r="G304" s="2"/>
      <c r="H304" s="2"/>
      <c r="I304" t="s">
        <v>418</v>
      </c>
    </row>
    <row r="305" spans="1:9" x14ac:dyDescent="0.45">
      <c r="A305" t="s">
        <v>19</v>
      </c>
      <c r="B305" t="s">
        <v>416</v>
      </c>
      <c r="C305" t="s">
        <v>565</v>
      </c>
      <c r="D305" t="s">
        <v>57</v>
      </c>
      <c r="E305" t="s">
        <v>23</v>
      </c>
      <c r="F305" s="2">
        <v>46301</v>
      </c>
      <c r="G305" s="2"/>
      <c r="H305" s="2"/>
      <c r="I305" t="s">
        <v>418</v>
      </c>
    </row>
    <row r="306" spans="1:9" x14ac:dyDescent="0.45">
      <c r="A306" t="s">
        <v>19</v>
      </c>
      <c r="B306" t="s">
        <v>416</v>
      </c>
      <c r="C306" t="s">
        <v>566</v>
      </c>
      <c r="D306" t="s">
        <v>57</v>
      </c>
      <c r="E306" t="s">
        <v>23</v>
      </c>
      <c r="F306" s="2">
        <v>46301</v>
      </c>
      <c r="G306" s="2"/>
      <c r="H306" s="2"/>
      <c r="I306" t="s">
        <v>418</v>
      </c>
    </row>
    <row r="307" spans="1:9" x14ac:dyDescent="0.45">
      <c r="A307" t="s">
        <v>19</v>
      </c>
      <c r="B307" t="s">
        <v>416</v>
      </c>
      <c r="C307" t="s">
        <v>567</v>
      </c>
      <c r="D307" t="s">
        <v>57</v>
      </c>
      <c r="E307" t="s">
        <v>23</v>
      </c>
      <c r="F307" s="2">
        <v>46301</v>
      </c>
      <c r="G307" s="2"/>
      <c r="H307" s="2"/>
      <c r="I307" t="s">
        <v>418</v>
      </c>
    </row>
    <row r="308" spans="1:9" x14ac:dyDescent="0.45">
      <c r="A308" t="s">
        <v>19</v>
      </c>
      <c r="B308" t="s">
        <v>416</v>
      </c>
      <c r="C308" t="s">
        <v>568</v>
      </c>
      <c r="D308" t="s">
        <v>57</v>
      </c>
      <c r="E308" t="s">
        <v>23</v>
      </c>
      <c r="F308" s="2">
        <v>46301</v>
      </c>
      <c r="G308" s="2"/>
      <c r="H308" s="2"/>
      <c r="I308" t="s">
        <v>418</v>
      </c>
    </row>
    <row r="309" spans="1:9" x14ac:dyDescent="0.45">
      <c r="A309" t="s">
        <v>19</v>
      </c>
      <c r="B309" t="s">
        <v>416</v>
      </c>
      <c r="C309" t="s">
        <v>569</v>
      </c>
      <c r="D309" t="s">
        <v>57</v>
      </c>
      <c r="E309" t="s">
        <v>23</v>
      </c>
      <c r="F309" s="2">
        <v>46301</v>
      </c>
      <c r="G309" s="2"/>
      <c r="H309" s="2"/>
      <c r="I309" t="s">
        <v>418</v>
      </c>
    </row>
    <row r="310" spans="1:9" x14ac:dyDescent="0.45">
      <c r="A310" t="s">
        <v>19</v>
      </c>
      <c r="B310" t="s">
        <v>416</v>
      </c>
      <c r="C310" t="s">
        <v>570</v>
      </c>
      <c r="D310" t="s">
        <v>57</v>
      </c>
      <c r="E310" t="s">
        <v>23</v>
      </c>
      <c r="F310" s="2">
        <v>46301</v>
      </c>
      <c r="G310" s="2"/>
      <c r="H310" s="2"/>
      <c r="I310" t="s">
        <v>418</v>
      </c>
    </row>
    <row r="311" spans="1:9" x14ac:dyDescent="0.45">
      <c r="A311" t="s">
        <v>19</v>
      </c>
      <c r="B311" t="s">
        <v>416</v>
      </c>
      <c r="C311" t="s">
        <v>571</v>
      </c>
      <c r="D311" t="s">
        <v>57</v>
      </c>
      <c r="E311" t="s">
        <v>23</v>
      </c>
      <c r="F311" s="2">
        <v>46301</v>
      </c>
      <c r="G311" s="2"/>
      <c r="H311" s="2"/>
      <c r="I311" t="s">
        <v>418</v>
      </c>
    </row>
    <row r="312" spans="1:9" x14ac:dyDescent="0.45">
      <c r="A312" t="s">
        <v>19</v>
      </c>
      <c r="B312" t="s">
        <v>416</v>
      </c>
      <c r="C312" t="s">
        <v>572</v>
      </c>
      <c r="D312" t="s">
        <v>57</v>
      </c>
      <c r="E312" t="s">
        <v>23</v>
      </c>
      <c r="F312" s="2">
        <v>46301</v>
      </c>
      <c r="G312" s="2"/>
      <c r="H312" s="2"/>
      <c r="I312" t="s">
        <v>418</v>
      </c>
    </row>
    <row r="313" spans="1:9" x14ac:dyDescent="0.45">
      <c r="A313" t="s">
        <v>19</v>
      </c>
      <c r="B313" t="s">
        <v>416</v>
      </c>
      <c r="C313" t="s">
        <v>573</v>
      </c>
      <c r="D313" t="s">
        <v>57</v>
      </c>
      <c r="E313" t="s">
        <v>23</v>
      </c>
      <c r="F313" s="2">
        <v>46301</v>
      </c>
      <c r="G313" s="2"/>
      <c r="H313" s="2"/>
      <c r="I313" t="s">
        <v>418</v>
      </c>
    </row>
    <row r="314" spans="1:9" x14ac:dyDescent="0.45">
      <c r="A314" t="s">
        <v>19</v>
      </c>
      <c r="B314" t="s">
        <v>416</v>
      </c>
      <c r="C314" t="s">
        <v>574</v>
      </c>
      <c r="D314" t="s">
        <v>57</v>
      </c>
      <c r="E314" t="s">
        <v>23</v>
      </c>
      <c r="F314" s="2">
        <v>46301</v>
      </c>
      <c r="G314" s="2"/>
      <c r="H314" s="2"/>
      <c r="I314" t="s">
        <v>418</v>
      </c>
    </row>
    <row r="315" spans="1:9" x14ac:dyDescent="0.45">
      <c r="A315" t="s">
        <v>19</v>
      </c>
      <c r="B315" t="s">
        <v>416</v>
      </c>
      <c r="C315" t="s">
        <v>575</v>
      </c>
      <c r="D315" t="s">
        <v>57</v>
      </c>
      <c r="E315" t="s">
        <v>23</v>
      </c>
      <c r="F315" s="2">
        <v>46301</v>
      </c>
      <c r="G315" s="2"/>
      <c r="H315" s="2"/>
      <c r="I315" t="s">
        <v>418</v>
      </c>
    </row>
    <row r="316" spans="1:9" x14ac:dyDescent="0.45">
      <c r="A316" t="s">
        <v>19</v>
      </c>
      <c r="B316" t="s">
        <v>416</v>
      </c>
      <c r="C316" t="s">
        <v>576</v>
      </c>
      <c r="D316" t="s">
        <v>57</v>
      </c>
      <c r="E316" t="s">
        <v>23</v>
      </c>
      <c r="F316" s="2">
        <v>46301</v>
      </c>
      <c r="G316" s="2"/>
      <c r="H316" s="2"/>
      <c r="I316" t="s">
        <v>418</v>
      </c>
    </row>
    <row r="317" spans="1:9" x14ac:dyDescent="0.45">
      <c r="A317" t="s">
        <v>19</v>
      </c>
      <c r="B317" t="s">
        <v>416</v>
      </c>
      <c r="C317" t="s">
        <v>577</v>
      </c>
      <c r="D317" t="s">
        <v>57</v>
      </c>
      <c r="E317" t="s">
        <v>23</v>
      </c>
      <c r="F317" s="2">
        <v>46301</v>
      </c>
      <c r="G317" s="2"/>
      <c r="H317" s="2"/>
      <c r="I317" t="s">
        <v>418</v>
      </c>
    </row>
    <row r="318" spans="1:9" x14ac:dyDescent="0.45">
      <c r="A318" t="s">
        <v>19</v>
      </c>
      <c r="B318" t="s">
        <v>416</v>
      </c>
      <c r="C318" t="s">
        <v>578</v>
      </c>
      <c r="D318" t="s">
        <v>57</v>
      </c>
      <c r="E318" t="s">
        <v>23</v>
      </c>
      <c r="F318" s="2">
        <v>46301</v>
      </c>
      <c r="G318" s="2"/>
      <c r="H318" s="2"/>
      <c r="I318" t="s">
        <v>418</v>
      </c>
    </row>
    <row r="319" spans="1:9" x14ac:dyDescent="0.45">
      <c r="A319" t="s">
        <v>19</v>
      </c>
      <c r="B319" t="s">
        <v>416</v>
      </c>
      <c r="C319" t="s">
        <v>579</v>
      </c>
      <c r="D319" t="s">
        <v>57</v>
      </c>
      <c r="E319" t="s">
        <v>23</v>
      </c>
      <c r="F319" s="2">
        <v>46301</v>
      </c>
      <c r="G319" s="2"/>
      <c r="H319" s="2"/>
      <c r="I319" t="s">
        <v>418</v>
      </c>
    </row>
    <row r="320" spans="1:9" x14ac:dyDescent="0.45">
      <c r="A320" t="s">
        <v>19</v>
      </c>
      <c r="B320" t="s">
        <v>207</v>
      </c>
      <c r="C320" t="s">
        <v>231</v>
      </c>
      <c r="D320" t="s">
        <v>57</v>
      </c>
      <c r="E320" t="s">
        <v>23</v>
      </c>
      <c r="F320" s="2">
        <v>46301</v>
      </c>
      <c r="G320" s="2"/>
      <c r="H320" s="2"/>
      <c r="I320" s="4" t="s">
        <v>263</v>
      </c>
    </row>
    <row r="321" spans="1:9" x14ac:dyDescent="0.45">
      <c r="A321" t="s">
        <v>19</v>
      </c>
      <c r="B321" t="s">
        <v>207</v>
      </c>
      <c r="C321" t="s">
        <v>580</v>
      </c>
      <c r="D321" t="s">
        <v>57</v>
      </c>
      <c r="E321" t="s">
        <v>23</v>
      </c>
      <c r="F321" s="2">
        <v>46301</v>
      </c>
      <c r="G321" s="2"/>
      <c r="H321" s="2"/>
      <c r="I321" s="4" t="s">
        <v>263</v>
      </c>
    </row>
    <row r="322" spans="1:9" x14ac:dyDescent="0.45">
      <c r="A322" t="s">
        <v>79</v>
      </c>
      <c r="B322" t="s">
        <v>581</v>
      </c>
      <c r="C322" s="4" t="s">
        <v>582</v>
      </c>
      <c r="D322" t="s">
        <v>57</v>
      </c>
      <c r="E322" t="s">
        <v>323</v>
      </c>
      <c r="F322" s="2">
        <v>46301</v>
      </c>
      <c r="G322" s="2"/>
      <c r="H322" s="2"/>
      <c r="I322" s="4" t="s">
        <v>582</v>
      </c>
    </row>
    <row r="323" spans="1:9" x14ac:dyDescent="0.45">
      <c r="A323" t="s">
        <v>79</v>
      </c>
      <c r="B323" t="s">
        <v>583</v>
      </c>
      <c r="C323" t="s">
        <v>584</v>
      </c>
      <c r="D323" t="s">
        <v>57</v>
      </c>
      <c r="E323" t="s">
        <v>585</v>
      </c>
      <c r="F323" s="2">
        <v>46301</v>
      </c>
      <c r="G323" s="2"/>
      <c r="H323" s="2"/>
      <c r="I323" s="4" t="s">
        <v>586</v>
      </c>
    </row>
    <row r="324" spans="1:9" x14ac:dyDescent="0.45">
      <c r="A324" t="s">
        <v>19</v>
      </c>
      <c r="B324" t="s">
        <v>587</v>
      </c>
      <c r="C324" t="s">
        <v>588</v>
      </c>
      <c r="D324" t="s">
        <v>57</v>
      </c>
      <c r="E324" t="s">
        <v>23</v>
      </c>
      <c r="F324" s="2">
        <v>46301</v>
      </c>
      <c r="G324" s="2"/>
      <c r="H324" s="2"/>
      <c r="I324" s="4" t="s">
        <v>589</v>
      </c>
    </row>
    <row r="325" spans="1:9" x14ac:dyDescent="0.45">
      <c r="A325" t="s">
        <v>19</v>
      </c>
      <c r="B325" t="s">
        <v>590</v>
      </c>
      <c r="C325" t="s">
        <v>591</v>
      </c>
      <c r="D325" t="s">
        <v>57</v>
      </c>
      <c r="E325" t="s">
        <v>23</v>
      </c>
      <c r="F325" s="2">
        <v>46301</v>
      </c>
      <c r="G325" s="2"/>
      <c r="H325" s="2"/>
      <c r="I325" s="4" t="s">
        <v>592</v>
      </c>
    </row>
    <row r="326" spans="1:9" x14ac:dyDescent="0.45">
      <c r="A326" t="s">
        <v>19</v>
      </c>
      <c r="B326" t="s">
        <v>321</v>
      </c>
      <c r="C326" t="s">
        <v>593</v>
      </c>
      <c r="D326" t="s">
        <v>44</v>
      </c>
      <c r="E326" t="s">
        <v>23</v>
      </c>
      <c r="F326" s="2">
        <v>46301</v>
      </c>
      <c r="G326" s="2"/>
      <c r="H326" s="2"/>
      <c r="I326" s="4" t="s">
        <v>594</v>
      </c>
    </row>
    <row r="327" spans="1:9" x14ac:dyDescent="0.45">
      <c r="A327" t="s">
        <v>19</v>
      </c>
      <c r="B327" t="s">
        <v>595</v>
      </c>
      <c r="C327" t="s">
        <v>596</v>
      </c>
      <c r="D327" t="s">
        <v>57</v>
      </c>
      <c r="E327" t="s">
        <v>112</v>
      </c>
      <c r="F327" s="2">
        <v>46301</v>
      </c>
      <c r="G327" s="2"/>
      <c r="H327" s="2"/>
      <c r="I327" t="s">
        <v>418</v>
      </c>
    </row>
    <row r="328" spans="1:9" x14ac:dyDescent="0.45">
      <c r="A328" t="s">
        <v>19</v>
      </c>
      <c r="B328" t="s">
        <v>595</v>
      </c>
      <c r="C328" t="s">
        <v>597</v>
      </c>
      <c r="D328" t="s">
        <v>57</v>
      </c>
      <c r="E328" t="s">
        <v>112</v>
      </c>
      <c r="F328" s="2">
        <v>46301</v>
      </c>
      <c r="G328" s="2"/>
      <c r="H328" s="2"/>
      <c r="I328" t="s">
        <v>418</v>
      </c>
    </row>
    <row r="329" spans="1:9" x14ac:dyDescent="0.45">
      <c r="A329" t="s">
        <v>19</v>
      </c>
      <c r="B329" t="s">
        <v>598</v>
      </c>
      <c r="C329" t="s">
        <v>599</v>
      </c>
      <c r="D329" t="s">
        <v>57</v>
      </c>
      <c r="E329" t="s">
        <v>112</v>
      </c>
      <c r="F329" s="2">
        <v>46301</v>
      </c>
      <c r="G329" s="2"/>
      <c r="H329" s="2"/>
      <c r="I329" t="s">
        <v>418</v>
      </c>
    </row>
    <row r="330" spans="1:9" x14ac:dyDescent="0.45">
      <c r="A330" t="s">
        <v>19</v>
      </c>
      <c r="B330" t="s">
        <v>598</v>
      </c>
      <c r="C330" t="s">
        <v>600</v>
      </c>
      <c r="D330" t="s">
        <v>57</v>
      </c>
      <c r="E330" t="s">
        <v>112</v>
      </c>
      <c r="F330" s="2">
        <v>46301</v>
      </c>
      <c r="G330" s="2"/>
      <c r="H330" s="2"/>
      <c r="I330" t="s">
        <v>418</v>
      </c>
    </row>
    <row r="331" spans="1:9" x14ac:dyDescent="0.45">
      <c r="A331" t="s">
        <v>19</v>
      </c>
      <c r="B331" t="s">
        <v>598</v>
      </c>
      <c r="C331" t="s">
        <v>601</v>
      </c>
      <c r="D331" t="s">
        <v>57</v>
      </c>
      <c r="E331" t="s">
        <v>112</v>
      </c>
      <c r="F331" s="2">
        <v>46301</v>
      </c>
      <c r="G331" s="2"/>
      <c r="H331" s="2"/>
      <c r="I331" t="s">
        <v>418</v>
      </c>
    </row>
    <row r="332" spans="1:9" x14ac:dyDescent="0.45">
      <c r="A332" t="s">
        <v>19</v>
      </c>
      <c r="B332" t="s">
        <v>598</v>
      </c>
      <c r="C332" t="s">
        <v>602</v>
      </c>
      <c r="D332" t="s">
        <v>57</v>
      </c>
      <c r="E332" t="s">
        <v>112</v>
      </c>
      <c r="F332" s="2">
        <v>46301</v>
      </c>
      <c r="G332" s="2"/>
      <c r="H332" s="2"/>
      <c r="I332" t="s">
        <v>418</v>
      </c>
    </row>
    <row r="333" spans="1:9" x14ac:dyDescent="0.45">
      <c r="A333" t="s">
        <v>19</v>
      </c>
      <c r="B333" t="s">
        <v>603</v>
      </c>
      <c r="C333" t="s">
        <v>604</v>
      </c>
      <c r="D333" t="s">
        <v>57</v>
      </c>
      <c r="E333" t="s">
        <v>112</v>
      </c>
      <c r="F333" s="2">
        <v>46301</v>
      </c>
      <c r="G333" s="2"/>
      <c r="H333" s="2"/>
      <c r="I333" t="s">
        <v>418</v>
      </c>
    </row>
    <row r="334" spans="1:9" x14ac:dyDescent="0.45">
      <c r="A334" t="s">
        <v>19</v>
      </c>
      <c r="B334" t="s">
        <v>605</v>
      </c>
      <c r="C334" t="s">
        <v>606</v>
      </c>
      <c r="D334" t="s">
        <v>57</v>
      </c>
      <c r="E334" t="s">
        <v>112</v>
      </c>
      <c r="F334" s="2">
        <v>46301</v>
      </c>
      <c r="G334" s="2"/>
      <c r="H334" s="2"/>
      <c r="I334" t="s">
        <v>418</v>
      </c>
    </row>
    <row r="335" spans="1:9" x14ac:dyDescent="0.45">
      <c r="A335" t="s">
        <v>19</v>
      </c>
      <c r="B335" t="s">
        <v>607</v>
      </c>
      <c r="C335" t="s">
        <v>608</v>
      </c>
      <c r="D335" t="s">
        <v>57</v>
      </c>
      <c r="E335" t="s">
        <v>112</v>
      </c>
      <c r="F335" s="2">
        <v>46301</v>
      </c>
      <c r="G335" s="2"/>
      <c r="H335" s="2"/>
      <c r="I335" t="s">
        <v>418</v>
      </c>
    </row>
    <row r="336" spans="1:9" x14ac:dyDescent="0.45">
      <c r="A336" t="s">
        <v>19</v>
      </c>
      <c r="B336" t="s">
        <v>609</v>
      </c>
      <c r="C336" t="s">
        <v>610</v>
      </c>
      <c r="D336" t="s">
        <v>57</v>
      </c>
      <c r="E336" t="s">
        <v>112</v>
      </c>
      <c r="F336" s="2">
        <v>46301</v>
      </c>
      <c r="G336" s="2"/>
      <c r="H336" s="2"/>
      <c r="I336" t="s">
        <v>418</v>
      </c>
    </row>
    <row r="337" spans="1:9" x14ac:dyDescent="0.45">
      <c r="A337" t="s">
        <v>19</v>
      </c>
      <c r="B337" t="s">
        <v>611</v>
      </c>
      <c r="C337" t="s">
        <v>612</v>
      </c>
      <c r="D337" t="s">
        <v>57</v>
      </c>
      <c r="E337" t="s">
        <v>112</v>
      </c>
      <c r="F337" s="2">
        <v>46301</v>
      </c>
      <c r="G337" s="2"/>
      <c r="H337" s="2"/>
      <c r="I337" t="s">
        <v>418</v>
      </c>
    </row>
    <row r="338" spans="1:9" x14ac:dyDescent="0.45">
      <c r="A338" t="s">
        <v>19</v>
      </c>
      <c r="B338" t="s">
        <v>613</v>
      </c>
      <c r="C338" s="4" t="s">
        <v>614</v>
      </c>
      <c r="D338" t="s">
        <v>57</v>
      </c>
      <c r="E338" t="s">
        <v>112</v>
      </c>
      <c r="F338" s="2">
        <v>46301</v>
      </c>
      <c r="G338" s="2"/>
      <c r="H338" s="2"/>
      <c r="I338" s="4" t="s">
        <v>614</v>
      </c>
    </row>
    <row r="339" spans="1:9" x14ac:dyDescent="0.45">
      <c r="A339" t="s">
        <v>19</v>
      </c>
      <c r="B339" t="s">
        <v>613</v>
      </c>
      <c r="C339" s="4" t="s">
        <v>615</v>
      </c>
      <c r="D339" t="s">
        <v>57</v>
      </c>
      <c r="E339" t="s">
        <v>112</v>
      </c>
      <c r="F339" s="2">
        <v>46301</v>
      </c>
      <c r="G339" s="2"/>
      <c r="H339" s="2"/>
      <c r="I339" s="4" t="s">
        <v>615</v>
      </c>
    </row>
    <row r="340" spans="1:9" x14ac:dyDescent="0.45">
      <c r="A340" t="s">
        <v>19</v>
      </c>
      <c r="B340" t="s">
        <v>613</v>
      </c>
      <c r="C340" s="4" t="s">
        <v>616</v>
      </c>
      <c r="D340" t="s">
        <v>57</v>
      </c>
      <c r="E340" t="s">
        <v>112</v>
      </c>
      <c r="F340" s="2">
        <v>46301</v>
      </c>
      <c r="G340" s="2"/>
      <c r="H340" s="2"/>
      <c r="I340" s="4" t="s">
        <v>616</v>
      </c>
    </row>
    <row r="341" spans="1:9" x14ac:dyDescent="0.45">
      <c r="A341" t="s">
        <v>19</v>
      </c>
      <c r="B341" t="s">
        <v>613</v>
      </c>
      <c r="C341" s="4" t="s">
        <v>617</v>
      </c>
      <c r="D341" t="s">
        <v>57</v>
      </c>
      <c r="E341" t="s">
        <v>112</v>
      </c>
      <c r="F341" s="2">
        <v>46301</v>
      </c>
      <c r="G341" s="2"/>
      <c r="H341" s="2"/>
      <c r="I341" s="4" t="s">
        <v>617</v>
      </c>
    </row>
    <row r="342" spans="1:9" x14ac:dyDescent="0.45">
      <c r="A342" t="s">
        <v>19</v>
      </c>
      <c r="B342" t="s">
        <v>613</v>
      </c>
      <c r="C342" s="4" t="s">
        <v>618</v>
      </c>
      <c r="D342" t="s">
        <v>57</v>
      </c>
      <c r="E342" t="s">
        <v>112</v>
      </c>
      <c r="F342" s="2">
        <v>46301</v>
      </c>
      <c r="G342" s="2"/>
      <c r="H342" s="2"/>
      <c r="I342" s="4" t="s">
        <v>618</v>
      </c>
    </row>
    <row r="343" spans="1:9" x14ac:dyDescent="0.45">
      <c r="A343" t="s">
        <v>19</v>
      </c>
      <c r="B343" t="s">
        <v>613</v>
      </c>
      <c r="C343" s="4" t="s">
        <v>618</v>
      </c>
      <c r="D343" t="s">
        <v>57</v>
      </c>
      <c r="E343" t="s">
        <v>112</v>
      </c>
      <c r="F343" s="2">
        <v>46301</v>
      </c>
      <c r="G343" s="2"/>
      <c r="H343" s="2"/>
      <c r="I343" s="4" t="s">
        <v>618</v>
      </c>
    </row>
    <row r="344" spans="1:9" x14ac:dyDescent="0.45">
      <c r="A344" t="s">
        <v>19</v>
      </c>
      <c r="B344" t="s">
        <v>613</v>
      </c>
      <c r="C344" s="4" t="s">
        <v>619</v>
      </c>
      <c r="D344" t="s">
        <v>57</v>
      </c>
      <c r="E344" t="s">
        <v>112</v>
      </c>
      <c r="F344" s="2">
        <v>46301</v>
      </c>
      <c r="G344" s="2"/>
      <c r="H344" s="2"/>
      <c r="I344" s="4" t="s">
        <v>619</v>
      </c>
    </row>
    <row r="345" spans="1:9" x14ac:dyDescent="0.45">
      <c r="A345" t="s">
        <v>19</v>
      </c>
      <c r="B345" t="s">
        <v>613</v>
      </c>
      <c r="C345" s="4" t="s">
        <v>619</v>
      </c>
      <c r="D345" t="s">
        <v>57</v>
      </c>
      <c r="E345" t="s">
        <v>112</v>
      </c>
      <c r="F345" s="2">
        <v>46301</v>
      </c>
      <c r="G345" s="2"/>
      <c r="H345" s="2"/>
      <c r="I345" s="4" t="s">
        <v>619</v>
      </c>
    </row>
    <row r="346" spans="1:9" x14ac:dyDescent="0.45">
      <c r="A346" t="s">
        <v>19</v>
      </c>
      <c r="B346" t="s">
        <v>613</v>
      </c>
      <c r="C346" s="4" t="s">
        <v>620</v>
      </c>
      <c r="D346" t="s">
        <v>57</v>
      </c>
      <c r="E346" t="s">
        <v>112</v>
      </c>
      <c r="F346" s="2">
        <v>46301</v>
      </c>
      <c r="G346" s="2"/>
      <c r="H346" s="2"/>
      <c r="I346" s="4" t="s">
        <v>620</v>
      </c>
    </row>
    <row r="347" spans="1:9" x14ac:dyDescent="0.45">
      <c r="A347" t="s">
        <v>19</v>
      </c>
      <c r="B347" t="s">
        <v>613</v>
      </c>
      <c r="C347" s="4" t="s">
        <v>614</v>
      </c>
      <c r="D347" t="s">
        <v>57</v>
      </c>
      <c r="E347" t="s">
        <v>112</v>
      </c>
      <c r="F347" s="2">
        <v>46301</v>
      </c>
      <c r="G347" s="2"/>
      <c r="H347" s="2"/>
      <c r="I347" s="4" t="s">
        <v>614</v>
      </c>
    </row>
    <row r="348" spans="1:9" x14ac:dyDescent="0.45">
      <c r="A348" t="s">
        <v>19</v>
      </c>
      <c r="B348" t="s">
        <v>613</v>
      </c>
      <c r="C348" s="4" t="s">
        <v>621</v>
      </c>
      <c r="D348" t="s">
        <v>57</v>
      </c>
      <c r="E348" t="s">
        <v>112</v>
      </c>
      <c r="F348" s="2">
        <v>46301</v>
      </c>
      <c r="G348" s="2"/>
      <c r="H348" s="2"/>
      <c r="I348" s="4" t="s">
        <v>621</v>
      </c>
    </row>
    <row r="349" spans="1:9" x14ac:dyDescent="0.45">
      <c r="A349" t="s">
        <v>19</v>
      </c>
      <c r="B349" t="s">
        <v>613</v>
      </c>
      <c r="C349" s="4" t="s">
        <v>622</v>
      </c>
      <c r="D349" t="s">
        <v>57</v>
      </c>
      <c r="E349" t="s">
        <v>112</v>
      </c>
      <c r="F349" s="2">
        <v>46301</v>
      </c>
      <c r="G349" s="2"/>
      <c r="H349" s="2"/>
      <c r="I349" s="4" t="s">
        <v>622</v>
      </c>
    </row>
    <row r="350" spans="1:9" x14ac:dyDescent="0.45">
      <c r="A350" t="s">
        <v>19</v>
      </c>
      <c r="B350" t="s">
        <v>613</v>
      </c>
      <c r="C350" s="4" t="s">
        <v>623</v>
      </c>
      <c r="D350" t="s">
        <v>57</v>
      </c>
      <c r="E350" t="s">
        <v>112</v>
      </c>
      <c r="F350" s="2">
        <v>46301</v>
      </c>
      <c r="G350" s="2"/>
      <c r="H350" s="2"/>
      <c r="I350" s="4" t="s">
        <v>623</v>
      </c>
    </row>
    <row r="351" spans="1:9" x14ac:dyDescent="0.45">
      <c r="A351" t="s">
        <v>19</v>
      </c>
      <c r="B351" t="s">
        <v>613</v>
      </c>
      <c r="C351" s="4" t="s">
        <v>624</v>
      </c>
      <c r="D351" t="s">
        <v>57</v>
      </c>
      <c r="E351" t="s">
        <v>112</v>
      </c>
      <c r="F351" s="2">
        <v>46301</v>
      </c>
      <c r="G351" s="2"/>
      <c r="H351" s="2"/>
      <c r="I351" s="4" t="s">
        <v>624</v>
      </c>
    </row>
    <row r="352" spans="1:9" x14ac:dyDescent="0.45">
      <c r="A352" t="s">
        <v>19</v>
      </c>
      <c r="B352" t="s">
        <v>144</v>
      </c>
      <c r="C352" s="4" t="s">
        <v>625</v>
      </c>
      <c r="D352" t="s">
        <v>57</v>
      </c>
      <c r="E352" t="s">
        <v>112</v>
      </c>
      <c r="F352" s="2">
        <v>46301</v>
      </c>
      <c r="G352" s="2"/>
      <c r="H352" s="2"/>
      <c r="I352" s="4" t="s">
        <v>625</v>
      </c>
    </row>
    <row r="353" spans="1:9" x14ac:dyDescent="0.45">
      <c r="A353" t="s">
        <v>19</v>
      </c>
      <c r="B353" t="s">
        <v>144</v>
      </c>
      <c r="C353" s="4" t="s">
        <v>625</v>
      </c>
      <c r="D353" t="s">
        <v>57</v>
      </c>
      <c r="E353" t="s">
        <v>112</v>
      </c>
      <c r="F353" s="2">
        <v>46301</v>
      </c>
      <c r="G353" s="2"/>
      <c r="H353" s="2"/>
      <c r="I353" s="4" t="s">
        <v>625</v>
      </c>
    </row>
    <row r="354" spans="1:9" x14ac:dyDescent="0.45">
      <c r="A354" t="s">
        <v>19</v>
      </c>
      <c r="B354" t="s">
        <v>626</v>
      </c>
      <c r="C354" t="s">
        <v>627</v>
      </c>
      <c r="E354" t="s">
        <v>112</v>
      </c>
      <c r="F354" s="2">
        <v>46301</v>
      </c>
      <c r="G354" s="2"/>
      <c r="H354" s="2"/>
      <c r="I354" s="4" t="s">
        <v>628</v>
      </c>
    </row>
    <row r="355" spans="1:9" x14ac:dyDescent="0.45">
      <c r="A355" t="s">
        <v>19</v>
      </c>
      <c r="B355" t="s">
        <v>629</v>
      </c>
      <c r="C355" t="s">
        <v>630</v>
      </c>
      <c r="E355" t="s">
        <v>112</v>
      </c>
      <c r="F355" s="2">
        <v>46301</v>
      </c>
      <c r="G355" s="2"/>
      <c r="H355" s="2"/>
      <c r="I355" s="4" t="s">
        <v>631</v>
      </c>
    </row>
    <row r="356" spans="1:9" x14ac:dyDescent="0.45">
      <c r="A356" t="s">
        <v>19</v>
      </c>
      <c r="B356" t="s">
        <v>629</v>
      </c>
      <c r="C356" s="4" t="s">
        <v>632</v>
      </c>
      <c r="E356" t="s">
        <v>112</v>
      </c>
      <c r="F356" s="2">
        <v>46301</v>
      </c>
      <c r="G356" s="2"/>
      <c r="H356" s="2"/>
      <c r="I356" s="4" t="s">
        <v>632</v>
      </c>
    </row>
    <row r="357" spans="1:9" x14ac:dyDescent="0.45">
      <c r="A357" t="s">
        <v>99</v>
      </c>
      <c r="B357" t="s">
        <v>242</v>
      </c>
      <c r="C357" s="4" t="s">
        <v>633</v>
      </c>
      <c r="E357" t="s">
        <v>112</v>
      </c>
      <c r="F357" s="2">
        <v>46301</v>
      </c>
      <c r="G357" s="2"/>
      <c r="H357" s="2"/>
      <c r="I357" s="4" t="s">
        <v>633</v>
      </c>
    </row>
    <row r="358" spans="1:9" x14ac:dyDescent="0.45">
      <c r="A358" t="s">
        <v>19</v>
      </c>
      <c r="B358" t="s">
        <v>595</v>
      </c>
      <c r="C358" s="4" t="s">
        <v>634</v>
      </c>
      <c r="E358" t="s">
        <v>112</v>
      </c>
      <c r="F358" s="2">
        <v>46301</v>
      </c>
      <c r="G358" s="2"/>
      <c r="H358" s="2"/>
      <c r="I358" s="4" t="s">
        <v>634</v>
      </c>
    </row>
    <row r="359" spans="1:9" x14ac:dyDescent="0.45">
      <c r="A359" t="s">
        <v>79</v>
      </c>
      <c r="B359" t="s">
        <v>635</v>
      </c>
      <c r="C359" t="s">
        <v>630</v>
      </c>
      <c r="E359" t="s">
        <v>112</v>
      </c>
      <c r="F359" s="2">
        <v>46301</v>
      </c>
      <c r="G359" s="2"/>
      <c r="H359" s="2"/>
      <c r="I359" s="4" t="s">
        <v>636</v>
      </c>
    </row>
    <row r="360" spans="1:9" x14ac:dyDescent="0.45">
      <c r="A360" t="s">
        <v>79</v>
      </c>
      <c r="B360" t="s">
        <v>637</v>
      </c>
      <c r="C360" s="4" t="s">
        <v>260</v>
      </c>
      <c r="E360" t="s">
        <v>112</v>
      </c>
      <c r="F360" s="2">
        <v>46301</v>
      </c>
      <c r="G360" s="2"/>
      <c r="H360" s="2"/>
      <c r="I360" s="4" t="s">
        <v>260</v>
      </c>
    </row>
    <row r="361" spans="1:9" x14ac:dyDescent="0.45">
      <c r="A361" t="s">
        <v>79</v>
      </c>
      <c r="B361" t="s">
        <v>637</v>
      </c>
      <c r="C361" s="4" t="s">
        <v>260</v>
      </c>
      <c r="E361" t="s">
        <v>112</v>
      </c>
      <c r="F361" s="2">
        <v>46301</v>
      </c>
      <c r="G361" s="2"/>
      <c r="H361" s="2"/>
      <c r="I361" s="4" t="s">
        <v>260</v>
      </c>
    </row>
    <row r="362" spans="1:9" x14ac:dyDescent="0.45">
      <c r="A362" t="s">
        <v>79</v>
      </c>
      <c r="B362" t="s">
        <v>637</v>
      </c>
      <c r="C362" s="4" t="s">
        <v>260</v>
      </c>
      <c r="E362" t="s">
        <v>112</v>
      </c>
      <c r="F362" s="2">
        <v>46301</v>
      </c>
      <c r="G362" s="2"/>
      <c r="H362" s="2"/>
      <c r="I362" s="4" t="s">
        <v>260</v>
      </c>
    </row>
    <row r="363" spans="1:9" x14ac:dyDescent="0.45">
      <c r="A363" t="s">
        <v>79</v>
      </c>
      <c r="B363" t="s">
        <v>638</v>
      </c>
      <c r="C363" s="4" t="s">
        <v>639</v>
      </c>
      <c r="E363" t="s">
        <v>112</v>
      </c>
      <c r="F363" s="2">
        <v>46301</v>
      </c>
      <c r="G363" s="2"/>
      <c r="H363" s="2"/>
      <c r="I363" s="4" t="s">
        <v>639</v>
      </c>
    </row>
    <row r="364" spans="1:9" x14ac:dyDescent="0.45">
      <c r="A364" t="s">
        <v>79</v>
      </c>
      <c r="B364" t="s">
        <v>638</v>
      </c>
      <c r="C364" s="4" t="s">
        <v>640</v>
      </c>
      <c r="E364" t="s">
        <v>112</v>
      </c>
      <c r="F364" s="2">
        <v>46301</v>
      </c>
      <c r="G364" s="2"/>
      <c r="H364" s="2"/>
      <c r="I364" s="4" t="s">
        <v>640</v>
      </c>
    </row>
    <row r="365" spans="1:9" x14ac:dyDescent="0.45">
      <c r="A365" t="s">
        <v>79</v>
      </c>
      <c r="B365" t="s">
        <v>638</v>
      </c>
      <c r="C365" s="4" t="s">
        <v>641</v>
      </c>
      <c r="E365" t="s">
        <v>112</v>
      </c>
      <c r="F365" s="2">
        <v>46301</v>
      </c>
      <c r="G365" s="2"/>
      <c r="H365" s="2"/>
      <c r="I365" s="4" t="s">
        <v>641</v>
      </c>
    </row>
    <row r="366" spans="1:9" x14ac:dyDescent="0.45">
      <c r="A366" t="s">
        <v>79</v>
      </c>
      <c r="B366" t="s">
        <v>638</v>
      </c>
      <c r="C366" s="4" t="s">
        <v>642</v>
      </c>
      <c r="E366" t="s">
        <v>112</v>
      </c>
      <c r="F366" s="2">
        <v>46301</v>
      </c>
      <c r="G366" s="2"/>
      <c r="H366" s="2"/>
      <c r="I366" s="4" t="s">
        <v>642</v>
      </c>
    </row>
    <row r="367" spans="1:9" x14ac:dyDescent="0.45">
      <c r="A367" t="s">
        <v>79</v>
      </c>
      <c r="B367" t="s">
        <v>638</v>
      </c>
      <c r="C367" s="4" t="s">
        <v>643</v>
      </c>
      <c r="E367" t="s">
        <v>112</v>
      </c>
      <c r="F367" s="2">
        <v>46301</v>
      </c>
      <c r="G367" s="2"/>
      <c r="H367" s="2"/>
      <c r="I367" s="4" t="s">
        <v>643</v>
      </c>
    </row>
    <row r="368" spans="1:9" x14ac:dyDescent="0.45">
      <c r="A368" t="s">
        <v>79</v>
      </c>
      <c r="B368" t="s">
        <v>638</v>
      </c>
      <c r="C368" s="4" t="s">
        <v>644</v>
      </c>
      <c r="E368" t="s">
        <v>112</v>
      </c>
      <c r="F368" s="2">
        <v>46301</v>
      </c>
      <c r="G368" s="2"/>
      <c r="H368" s="2"/>
      <c r="I368" s="4" t="s">
        <v>644</v>
      </c>
    </row>
    <row r="369" spans="1:9" x14ac:dyDescent="0.45">
      <c r="A369" t="s">
        <v>19</v>
      </c>
      <c r="B369" t="s">
        <v>645</v>
      </c>
      <c r="C369" t="s">
        <v>630</v>
      </c>
      <c r="E369" t="s">
        <v>112</v>
      </c>
      <c r="F369" s="2">
        <v>46301</v>
      </c>
      <c r="G369" s="2"/>
      <c r="H369" s="2"/>
      <c r="I369" s="4" t="s">
        <v>646</v>
      </c>
    </row>
    <row r="370" spans="1:9" x14ac:dyDescent="0.45">
      <c r="A370" t="s">
        <v>19</v>
      </c>
      <c r="B370" t="s">
        <v>647</v>
      </c>
      <c r="C370" t="s">
        <v>648</v>
      </c>
      <c r="D370" t="s">
        <v>44</v>
      </c>
      <c r="E370" t="s">
        <v>112</v>
      </c>
      <c r="F370" s="2">
        <v>46301</v>
      </c>
      <c r="G370" s="2"/>
      <c r="H370" s="2"/>
    </row>
    <row r="371" spans="1:9" x14ac:dyDescent="0.45">
      <c r="A371" t="s">
        <v>19</v>
      </c>
      <c r="B371" t="s">
        <v>647</v>
      </c>
      <c r="C371" t="s">
        <v>649</v>
      </c>
      <c r="D371" t="s">
        <v>44</v>
      </c>
      <c r="E371" t="s">
        <v>112</v>
      </c>
      <c r="F371" s="2">
        <v>46301</v>
      </c>
      <c r="G371" s="2"/>
      <c r="H371" s="2"/>
    </row>
    <row r="372" spans="1:9" x14ac:dyDescent="0.45">
      <c r="A372" t="s">
        <v>19</v>
      </c>
      <c r="B372" t="s">
        <v>647</v>
      </c>
      <c r="C372" t="s">
        <v>650</v>
      </c>
      <c r="D372" t="s">
        <v>44</v>
      </c>
      <c r="E372" t="s">
        <v>112</v>
      </c>
      <c r="F372" s="2">
        <v>46301</v>
      </c>
      <c r="G372" s="2"/>
      <c r="H372" s="2"/>
    </row>
    <row r="373" spans="1:9" x14ac:dyDescent="0.45">
      <c r="A373" t="s">
        <v>19</v>
      </c>
      <c r="B373" t="s">
        <v>647</v>
      </c>
      <c r="C373" t="s">
        <v>651</v>
      </c>
      <c r="D373" t="s">
        <v>44</v>
      </c>
      <c r="E373" t="s">
        <v>112</v>
      </c>
      <c r="F373" s="2">
        <v>46301</v>
      </c>
      <c r="G373" s="2"/>
      <c r="H373" s="2"/>
    </row>
    <row r="374" spans="1:9" x14ac:dyDescent="0.45">
      <c r="A374" t="s">
        <v>19</v>
      </c>
      <c r="B374" t="s">
        <v>647</v>
      </c>
      <c r="C374" t="s">
        <v>652</v>
      </c>
      <c r="D374" t="s">
        <v>44</v>
      </c>
      <c r="E374" t="s">
        <v>112</v>
      </c>
      <c r="F374" s="2">
        <v>46301</v>
      </c>
      <c r="G374" s="2"/>
      <c r="H374" s="2"/>
    </row>
    <row r="375" spans="1:9" x14ac:dyDescent="0.45">
      <c r="A375" t="s">
        <v>19</v>
      </c>
      <c r="B375" t="s">
        <v>647</v>
      </c>
      <c r="C375" t="s">
        <v>653</v>
      </c>
      <c r="D375" t="s">
        <v>44</v>
      </c>
      <c r="E375" t="s">
        <v>112</v>
      </c>
      <c r="F375" s="2">
        <v>46301</v>
      </c>
      <c r="G375" s="2"/>
      <c r="H375" s="2"/>
    </row>
    <row r="376" spans="1:9" x14ac:dyDescent="0.45">
      <c r="A376" t="s">
        <v>19</v>
      </c>
      <c r="B376" t="s">
        <v>654</v>
      </c>
      <c r="C376" t="s">
        <v>627</v>
      </c>
      <c r="D376" t="s">
        <v>44</v>
      </c>
      <c r="E376" t="s">
        <v>112</v>
      </c>
      <c r="F376" s="2">
        <v>46301</v>
      </c>
      <c r="G376" s="2"/>
      <c r="H376" s="2"/>
      <c r="I376" s="4" t="s">
        <v>655</v>
      </c>
    </row>
    <row r="377" spans="1:9" x14ac:dyDescent="0.45">
      <c r="A377" t="s">
        <v>19</v>
      </c>
      <c r="B377" t="s">
        <v>656</v>
      </c>
      <c r="C377" t="s">
        <v>657</v>
      </c>
      <c r="D377" t="s">
        <v>44</v>
      </c>
      <c r="E377" t="s">
        <v>112</v>
      </c>
      <c r="F377" s="2">
        <v>46301</v>
      </c>
      <c r="G377" s="2"/>
      <c r="H377" s="2"/>
      <c r="I377" s="4" t="s">
        <v>658</v>
      </c>
    </row>
    <row r="378" spans="1:9" x14ac:dyDescent="0.45">
      <c r="A378" t="s">
        <v>19</v>
      </c>
      <c r="B378" t="s">
        <v>656</v>
      </c>
      <c r="C378" t="s">
        <v>659</v>
      </c>
      <c r="D378" t="s">
        <v>44</v>
      </c>
      <c r="E378" t="s">
        <v>112</v>
      </c>
      <c r="F378" s="2">
        <v>46301</v>
      </c>
      <c r="G378" s="2"/>
      <c r="H378" s="2"/>
      <c r="I378" s="4" t="s">
        <v>658</v>
      </c>
    </row>
    <row r="379" spans="1:9" x14ac:dyDescent="0.45">
      <c r="A379" t="s">
        <v>19</v>
      </c>
      <c r="B379" t="s">
        <v>660</v>
      </c>
      <c r="C379" t="s">
        <v>661</v>
      </c>
      <c r="D379" t="s">
        <v>57</v>
      </c>
      <c r="E379" t="s">
        <v>112</v>
      </c>
      <c r="F379" s="2">
        <v>46301</v>
      </c>
      <c r="G379" s="2"/>
      <c r="H379" s="2"/>
      <c r="I379" s="4" t="s">
        <v>662</v>
      </c>
    </row>
    <row r="380" spans="1:9" x14ac:dyDescent="0.45">
      <c r="A380" t="s">
        <v>19</v>
      </c>
      <c r="B380" t="s">
        <v>660</v>
      </c>
      <c r="C380" t="s">
        <v>663</v>
      </c>
      <c r="D380" t="s">
        <v>57</v>
      </c>
      <c r="E380" t="s">
        <v>112</v>
      </c>
      <c r="F380" s="2">
        <v>46301</v>
      </c>
      <c r="G380" s="2"/>
      <c r="H380" s="2"/>
      <c r="I380" s="4" t="s">
        <v>662</v>
      </c>
    </row>
    <row r="381" spans="1:9" x14ac:dyDescent="0.45">
      <c r="A381" t="s">
        <v>19</v>
      </c>
      <c r="B381" t="s">
        <v>660</v>
      </c>
      <c r="C381" t="s">
        <v>664</v>
      </c>
      <c r="D381" t="s">
        <v>57</v>
      </c>
      <c r="E381" t="s">
        <v>112</v>
      </c>
      <c r="F381" s="2">
        <v>46301</v>
      </c>
      <c r="G381" s="2"/>
      <c r="H381" s="2"/>
      <c r="I381" s="4" t="s">
        <v>662</v>
      </c>
    </row>
    <row r="382" spans="1:9" x14ac:dyDescent="0.45">
      <c r="A382" t="s">
        <v>19</v>
      </c>
      <c r="B382" t="s">
        <v>660</v>
      </c>
      <c r="C382" t="s">
        <v>665</v>
      </c>
      <c r="D382" t="s">
        <v>57</v>
      </c>
      <c r="E382" t="s">
        <v>112</v>
      </c>
      <c r="F382" s="2">
        <v>46301</v>
      </c>
      <c r="G382" s="2"/>
      <c r="H382" s="2"/>
      <c r="I382" s="4" t="s">
        <v>662</v>
      </c>
    </row>
    <row r="383" spans="1:9" x14ac:dyDescent="0.45">
      <c r="A383" t="s">
        <v>19</v>
      </c>
      <c r="B383" t="s">
        <v>660</v>
      </c>
      <c r="C383" t="s">
        <v>666</v>
      </c>
      <c r="D383" t="s">
        <v>57</v>
      </c>
      <c r="E383" t="s">
        <v>112</v>
      </c>
      <c r="F383" s="2">
        <v>46301</v>
      </c>
      <c r="G383" s="2"/>
      <c r="H383" s="2"/>
      <c r="I383" s="4" t="s">
        <v>662</v>
      </c>
    </row>
    <row r="384" spans="1:9" x14ac:dyDescent="0.45">
      <c r="A384" t="s">
        <v>19</v>
      </c>
      <c r="B384" t="s">
        <v>660</v>
      </c>
      <c r="C384" t="s">
        <v>667</v>
      </c>
      <c r="D384" t="s">
        <v>57</v>
      </c>
      <c r="E384" t="s">
        <v>112</v>
      </c>
      <c r="F384" s="2">
        <v>46301</v>
      </c>
      <c r="G384" s="2"/>
      <c r="H384" s="2"/>
      <c r="I384" s="4" t="s">
        <v>668</v>
      </c>
    </row>
    <row r="385" spans="1:9" x14ac:dyDescent="0.45">
      <c r="A385" t="s">
        <v>19</v>
      </c>
      <c r="B385" t="s">
        <v>660</v>
      </c>
      <c r="C385" t="s">
        <v>669</v>
      </c>
      <c r="D385" t="s">
        <v>57</v>
      </c>
      <c r="E385" t="s">
        <v>112</v>
      </c>
      <c r="F385" s="2">
        <v>46301</v>
      </c>
      <c r="G385" s="2"/>
      <c r="H385" s="2"/>
      <c r="I385" s="4" t="s">
        <v>662</v>
      </c>
    </row>
    <row r="386" spans="1:9" x14ac:dyDescent="0.45">
      <c r="A386" t="s">
        <v>19</v>
      </c>
      <c r="B386" t="s">
        <v>660</v>
      </c>
      <c r="C386" t="s">
        <v>670</v>
      </c>
      <c r="D386" t="s">
        <v>57</v>
      </c>
      <c r="E386" t="s">
        <v>112</v>
      </c>
      <c r="F386" s="2">
        <v>46301</v>
      </c>
      <c r="G386" s="2"/>
      <c r="H386" s="2"/>
      <c r="I386" s="4" t="s">
        <v>662</v>
      </c>
    </row>
    <row r="387" spans="1:9" x14ac:dyDescent="0.45">
      <c r="A387" t="s">
        <v>19</v>
      </c>
      <c r="B387" t="s">
        <v>660</v>
      </c>
      <c r="C387" t="s">
        <v>671</v>
      </c>
      <c r="D387" t="s">
        <v>57</v>
      </c>
      <c r="E387" t="s">
        <v>112</v>
      </c>
      <c r="F387" s="2">
        <v>46301</v>
      </c>
      <c r="G387" s="2"/>
      <c r="H387" s="2"/>
      <c r="I387" s="4" t="s">
        <v>662</v>
      </c>
    </row>
    <row r="388" spans="1:9" x14ac:dyDescent="0.45">
      <c r="A388" t="s">
        <v>19</v>
      </c>
      <c r="B388" t="s">
        <v>660</v>
      </c>
      <c r="C388" t="s">
        <v>672</v>
      </c>
      <c r="D388" t="s">
        <v>57</v>
      </c>
      <c r="E388" t="s">
        <v>112</v>
      </c>
      <c r="F388" s="2">
        <v>46301</v>
      </c>
      <c r="G388" s="2"/>
      <c r="H388" s="2"/>
      <c r="I388" s="4" t="s">
        <v>662</v>
      </c>
    </row>
    <row r="389" spans="1:9" x14ac:dyDescent="0.45">
      <c r="A389" t="s">
        <v>19</v>
      </c>
      <c r="B389" t="s">
        <v>660</v>
      </c>
      <c r="C389" t="s">
        <v>673</v>
      </c>
      <c r="D389" t="s">
        <v>57</v>
      </c>
      <c r="E389" t="s">
        <v>112</v>
      </c>
      <c r="F389" s="2">
        <v>46301</v>
      </c>
      <c r="G389" s="2"/>
      <c r="H389" s="2"/>
      <c r="I389" s="4" t="s">
        <v>662</v>
      </c>
    </row>
    <row r="390" spans="1:9" x14ac:dyDescent="0.45">
      <c r="A390" t="s">
        <v>19</v>
      </c>
      <c r="B390" t="s">
        <v>660</v>
      </c>
      <c r="C390" t="s">
        <v>674</v>
      </c>
      <c r="D390" t="s">
        <v>57</v>
      </c>
      <c r="E390" t="s">
        <v>112</v>
      </c>
      <c r="F390" s="2">
        <v>46301</v>
      </c>
      <c r="G390" s="2"/>
      <c r="H390" s="2"/>
      <c r="I390" s="4" t="s">
        <v>662</v>
      </c>
    </row>
    <row r="391" spans="1:9" x14ac:dyDescent="0.45">
      <c r="A391" t="s">
        <v>19</v>
      </c>
      <c r="B391" t="s">
        <v>675</v>
      </c>
      <c r="C391" t="s">
        <v>676</v>
      </c>
      <c r="E391" t="s">
        <v>112</v>
      </c>
      <c r="F391" s="2">
        <v>46301</v>
      </c>
      <c r="G391" s="2"/>
      <c r="H391" s="2"/>
      <c r="I391" s="4" t="s">
        <v>677</v>
      </c>
    </row>
    <row r="392" spans="1:9" x14ac:dyDescent="0.45">
      <c r="A392" t="s">
        <v>19</v>
      </c>
      <c r="B392" t="s">
        <v>675</v>
      </c>
      <c r="C392" t="s">
        <v>678</v>
      </c>
      <c r="E392" t="s">
        <v>112</v>
      </c>
      <c r="F392" s="2">
        <v>46301</v>
      </c>
      <c r="G392" s="2"/>
      <c r="H392" s="2"/>
      <c r="I392" t="s">
        <v>679</v>
      </c>
    </row>
    <row r="393" spans="1:9" x14ac:dyDescent="0.45">
      <c r="A393" t="s">
        <v>19</v>
      </c>
      <c r="B393" t="s">
        <v>675</v>
      </c>
      <c r="C393" t="s">
        <v>680</v>
      </c>
      <c r="E393" t="s">
        <v>112</v>
      </c>
      <c r="F393" s="2">
        <v>46301</v>
      </c>
      <c r="G393" s="2"/>
      <c r="H393" s="2"/>
      <c r="I393" s="4" t="s">
        <v>681</v>
      </c>
    </row>
    <row r="394" spans="1:9" x14ac:dyDescent="0.45">
      <c r="A394" t="s">
        <v>19</v>
      </c>
      <c r="B394" t="s">
        <v>682</v>
      </c>
      <c r="C394" t="s">
        <v>683</v>
      </c>
      <c r="E394" t="s">
        <v>112</v>
      </c>
      <c r="F394" s="2">
        <v>46301</v>
      </c>
      <c r="G394" s="2"/>
      <c r="H394" s="2"/>
      <c r="I394" t="s">
        <v>684</v>
      </c>
    </row>
    <row r="395" spans="1:9" x14ac:dyDescent="0.45">
      <c r="A395" t="s">
        <v>19</v>
      </c>
      <c r="B395" t="s">
        <v>685</v>
      </c>
      <c r="C395" t="s">
        <v>686</v>
      </c>
      <c r="E395" t="s">
        <v>112</v>
      </c>
      <c r="F395" s="2">
        <v>46301</v>
      </c>
      <c r="G395" s="2"/>
      <c r="H395" s="2"/>
      <c r="I395" s="4" t="s">
        <v>687</v>
      </c>
    </row>
    <row r="396" spans="1:9" x14ac:dyDescent="0.45">
      <c r="A396" t="s">
        <v>19</v>
      </c>
      <c r="B396" t="s">
        <v>688</v>
      </c>
      <c r="C396" t="s">
        <v>689</v>
      </c>
      <c r="E396" t="s">
        <v>112</v>
      </c>
      <c r="F396" s="2">
        <v>46301</v>
      </c>
      <c r="G396" s="2"/>
      <c r="H396" s="2"/>
      <c r="I396" s="4" t="s">
        <v>690</v>
      </c>
    </row>
    <row r="397" spans="1:9" x14ac:dyDescent="0.45">
      <c r="A397" t="s">
        <v>19</v>
      </c>
      <c r="B397" t="s">
        <v>691</v>
      </c>
      <c r="C397" t="s">
        <v>692</v>
      </c>
      <c r="E397" t="s">
        <v>112</v>
      </c>
      <c r="F397" s="2">
        <v>46301</v>
      </c>
      <c r="G397" s="2"/>
      <c r="H397" s="2"/>
    </row>
    <row r="398" spans="1:9" x14ac:dyDescent="0.45">
      <c r="A398" t="s">
        <v>19</v>
      </c>
      <c r="B398" t="s">
        <v>613</v>
      </c>
      <c r="C398" s="4" t="s">
        <v>693</v>
      </c>
      <c r="D398" t="s">
        <v>57</v>
      </c>
      <c r="E398" t="s">
        <v>112</v>
      </c>
      <c r="F398" s="2">
        <v>46301</v>
      </c>
      <c r="G398" s="2"/>
      <c r="H398" s="2"/>
      <c r="I398" s="4" t="s">
        <v>693</v>
      </c>
    </row>
    <row r="399" spans="1:9" x14ac:dyDescent="0.45">
      <c r="A399" t="s">
        <v>19</v>
      </c>
      <c r="B399" t="s">
        <v>613</v>
      </c>
      <c r="C399" s="4" t="s">
        <v>694</v>
      </c>
      <c r="D399" t="s">
        <v>57</v>
      </c>
      <c r="E399" t="s">
        <v>112</v>
      </c>
      <c r="F399" s="2">
        <v>46301</v>
      </c>
      <c r="G399" s="2"/>
      <c r="H399" s="2"/>
      <c r="I399" s="4" t="s">
        <v>694</v>
      </c>
    </row>
    <row r="400" spans="1:9" x14ac:dyDescent="0.45">
      <c r="A400" t="s">
        <v>19</v>
      </c>
      <c r="B400" t="s">
        <v>613</v>
      </c>
      <c r="C400" s="4" t="s">
        <v>695</v>
      </c>
      <c r="D400" t="s">
        <v>57</v>
      </c>
      <c r="E400" t="s">
        <v>112</v>
      </c>
      <c r="F400" s="2">
        <v>46301</v>
      </c>
      <c r="G400" s="2"/>
      <c r="H400" s="2"/>
      <c r="I400" s="4" t="s">
        <v>695</v>
      </c>
    </row>
    <row r="401" spans="1:9" x14ac:dyDescent="0.45">
      <c r="A401" t="s">
        <v>19</v>
      </c>
      <c r="B401" t="s">
        <v>613</v>
      </c>
      <c r="C401" s="4" t="s">
        <v>696</v>
      </c>
      <c r="D401" t="s">
        <v>57</v>
      </c>
      <c r="E401" t="s">
        <v>112</v>
      </c>
      <c r="F401" s="2">
        <v>46301</v>
      </c>
      <c r="G401" s="2"/>
      <c r="H401" s="2"/>
      <c r="I401" s="4" t="s">
        <v>696</v>
      </c>
    </row>
    <row r="402" spans="1:9" x14ac:dyDescent="0.45">
      <c r="A402" t="s">
        <v>19</v>
      </c>
      <c r="B402" t="s">
        <v>613</v>
      </c>
      <c r="C402" s="4" t="s">
        <v>617</v>
      </c>
      <c r="D402" t="s">
        <v>57</v>
      </c>
      <c r="E402" t="s">
        <v>112</v>
      </c>
      <c r="F402" s="2">
        <v>46301</v>
      </c>
      <c r="G402" s="2"/>
      <c r="H402" s="2"/>
      <c r="I402" s="4" t="s">
        <v>617</v>
      </c>
    </row>
    <row r="403" spans="1:9" x14ac:dyDescent="0.45">
      <c r="A403" t="s">
        <v>19</v>
      </c>
      <c r="B403" t="s">
        <v>613</v>
      </c>
      <c r="C403" s="4" t="s">
        <v>619</v>
      </c>
      <c r="D403" t="s">
        <v>57</v>
      </c>
      <c r="E403" t="s">
        <v>112</v>
      </c>
      <c r="F403" s="2">
        <v>46301</v>
      </c>
      <c r="G403" s="2"/>
      <c r="H403" s="2"/>
      <c r="I403" s="4" t="s">
        <v>619</v>
      </c>
    </row>
    <row r="404" spans="1:9" x14ac:dyDescent="0.45">
      <c r="A404" t="s">
        <v>19</v>
      </c>
      <c r="B404" t="s">
        <v>613</v>
      </c>
      <c r="C404" s="4" t="s">
        <v>697</v>
      </c>
      <c r="D404" t="s">
        <v>57</v>
      </c>
      <c r="E404" t="s">
        <v>112</v>
      </c>
      <c r="F404" s="2">
        <v>46301</v>
      </c>
      <c r="G404" s="2"/>
      <c r="H404" s="2"/>
      <c r="I404" s="4" t="s">
        <v>697</v>
      </c>
    </row>
    <row r="405" spans="1:9" x14ac:dyDescent="0.45">
      <c r="A405" t="s">
        <v>19</v>
      </c>
      <c r="B405" t="s">
        <v>613</v>
      </c>
      <c r="C405" s="4" t="s">
        <v>698</v>
      </c>
      <c r="D405" t="s">
        <v>57</v>
      </c>
      <c r="E405" t="s">
        <v>112</v>
      </c>
      <c r="F405" s="2">
        <v>46301</v>
      </c>
      <c r="G405" s="2"/>
      <c r="H405" s="2"/>
      <c r="I405" s="4" t="s">
        <v>698</v>
      </c>
    </row>
    <row r="406" spans="1:9" x14ac:dyDescent="0.45">
      <c r="A406" t="s">
        <v>19</v>
      </c>
      <c r="B406" t="s">
        <v>613</v>
      </c>
      <c r="C406" s="4" t="s">
        <v>614</v>
      </c>
      <c r="D406" t="s">
        <v>57</v>
      </c>
      <c r="E406" t="s">
        <v>112</v>
      </c>
      <c r="F406" s="2">
        <v>46301</v>
      </c>
      <c r="G406" s="2"/>
      <c r="H406" s="2"/>
      <c r="I406" s="4" t="s">
        <v>614</v>
      </c>
    </row>
    <row r="407" spans="1:9" x14ac:dyDescent="0.45">
      <c r="A407" t="s">
        <v>19</v>
      </c>
      <c r="B407" t="s">
        <v>613</v>
      </c>
      <c r="C407" s="4" t="s">
        <v>699</v>
      </c>
      <c r="D407" t="s">
        <v>57</v>
      </c>
      <c r="E407" t="s">
        <v>112</v>
      </c>
      <c r="F407" s="2">
        <v>46301</v>
      </c>
      <c r="G407" s="2"/>
      <c r="H407" s="2"/>
      <c r="I407" s="4" t="s">
        <v>699</v>
      </c>
    </row>
    <row r="408" spans="1:9" x14ac:dyDescent="0.45">
      <c r="A408" t="s">
        <v>19</v>
      </c>
      <c r="B408" t="s">
        <v>613</v>
      </c>
      <c r="C408" s="4" t="s">
        <v>700</v>
      </c>
      <c r="D408" t="s">
        <v>57</v>
      </c>
      <c r="E408" t="s">
        <v>112</v>
      </c>
      <c r="F408" s="2">
        <v>46301</v>
      </c>
      <c r="G408" s="2"/>
      <c r="H408" s="2"/>
      <c r="I408" s="4" t="s">
        <v>700</v>
      </c>
    </row>
    <row r="409" spans="1:9" x14ac:dyDescent="0.45">
      <c r="A409" t="s">
        <v>19</v>
      </c>
      <c r="B409" t="s">
        <v>613</v>
      </c>
      <c r="C409" s="4" t="s">
        <v>701</v>
      </c>
      <c r="D409" t="s">
        <v>57</v>
      </c>
      <c r="E409" t="s">
        <v>112</v>
      </c>
      <c r="F409" s="2">
        <v>46301</v>
      </c>
      <c r="G409" s="2"/>
      <c r="H409" s="2"/>
      <c r="I409" s="4" t="s">
        <v>701</v>
      </c>
    </row>
    <row r="410" spans="1:9" x14ac:dyDescent="0.45">
      <c r="A410" t="s">
        <v>19</v>
      </c>
      <c r="B410" t="s">
        <v>613</v>
      </c>
      <c r="C410" s="4" t="s">
        <v>619</v>
      </c>
      <c r="D410" t="s">
        <v>57</v>
      </c>
      <c r="E410" t="s">
        <v>112</v>
      </c>
      <c r="F410" s="2">
        <v>46301</v>
      </c>
      <c r="G410" s="2"/>
      <c r="H410" s="2"/>
      <c r="I410" s="4" t="s">
        <v>619</v>
      </c>
    </row>
    <row r="411" spans="1:9" x14ac:dyDescent="0.45">
      <c r="A411" t="s">
        <v>19</v>
      </c>
      <c r="B411" t="s">
        <v>613</v>
      </c>
      <c r="C411" s="4" t="s">
        <v>702</v>
      </c>
      <c r="D411" t="s">
        <v>57</v>
      </c>
      <c r="E411" t="s">
        <v>112</v>
      </c>
      <c r="F411" s="2">
        <v>46301</v>
      </c>
      <c r="G411" s="2"/>
      <c r="H411" s="2"/>
      <c r="I411" s="4" t="s">
        <v>702</v>
      </c>
    </row>
    <row r="412" spans="1:9" x14ac:dyDescent="0.45">
      <c r="A412" t="s">
        <v>19</v>
      </c>
      <c r="B412" t="s">
        <v>613</v>
      </c>
      <c r="C412" s="4" t="s">
        <v>624</v>
      </c>
      <c r="D412" t="s">
        <v>57</v>
      </c>
      <c r="E412" t="s">
        <v>112</v>
      </c>
      <c r="F412" s="2">
        <v>46301</v>
      </c>
      <c r="G412" s="2"/>
      <c r="H412" s="2"/>
      <c r="I412" s="4" t="s">
        <v>624</v>
      </c>
    </row>
    <row r="413" spans="1:9" x14ac:dyDescent="0.45">
      <c r="A413" t="s">
        <v>19</v>
      </c>
      <c r="B413" t="s">
        <v>613</v>
      </c>
      <c r="C413" s="4" t="s">
        <v>623</v>
      </c>
      <c r="D413" t="s">
        <v>57</v>
      </c>
      <c r="E413" t="s">
        <v>112</v>
      </c>
      <c r="F413" s="2">
        <v>46301</v>
      </c>
      <c r="G413" s="2"/>
      <c r="H413" s="2"/>
      <c r="I413" s="4" t="s">
        <v>623</v>
      </c>
    </row>
    <row r="414" spans="1:9" x14ac:dyDescent="0.45">
      <c r="A414" t="s">
        <v>19</v>
      </c>
      <c r="B414" t="s">
        <v>613</v>
      </c>
      <c r="C414" s="4" t="s">
        <v>622</v>
      </c>
      <c r="D414" t="s">
        <v>57</v>
      </c>
      <c r="E414" t="s">
        <v>112</v>
      </c>
      <c r="F414" s="2">
        <v>46301</v>
      </c>
      <c r="G414" s="2"/>
      <c r="H414" s="2"/>
      <c r="I414" s="4" t="s">
        <v>622</v>
      </c>
    </row>
    <row r="415" spans="1:9" x14ac:dyDescent="0.45">
      <c r="A415" t="s">
        <v>19</v>
      </c>
      <c r="B415" t="s">
        <v>613</v>
      </c>
      <c r="C415" s="4" t="s">
        <v>621</v>
      </c>
      <c r="D415" t="s">
        <v>57</v>
      </c>
      <c r="E415" t="s">
        <v>112</v>
      </c>
      <c r="F415" s="2">
        <v>46301</v>
      </c>
      <c r="G415" s="2"/>
      <c r="H415" s="2"/>
      <c r="I415" s="4" t="s">
        <v>621</v>
      </c>
    </row>
    <row r="416" spans="1:9" x14ac:dyDescent="0.45">
      <c r="A416" t="s">
        <v>19</v>
      </c>
      <c r="B416" t="s">
        <v>613</v>
      </c>
      <c r="C416" s="4" t="s">
        <v>703</v>
      </c>
      <c r="D416" t="s">
        <v>57</v>
      </c>
      <c r="E416" t="s">
        <v>112</v>
      </c>
      <c r="F416" s="2">
        <v>46301</v>
      </c>
      <c r="G416" s="2"/>
      <c r="H416" s="2"/>
      <c r="I416" s="4" t="s">
        <v>703</v>
      </c>
    </row>
    <row r="417" spans="1:9" x14ac:dyDescent="0.45">
      <c r="A417" t="s">
        <v>19</v>
      </c>
      <c r="B417" t="s">
        <v>613</v>
      </c>
      <c r="C417" s="4" t="s">
        <v>704</v>
      </c>
      <c r="D417" t="s">
        <v>57</v>
      </c>
      <c r="E417" t="s">
        <v>112</v>
      </c>
      <c r="F417" s="2">
        <v>46301</v>
      </c>
      <c r="G417" s="2"/>
      <c r="H417" s="2"/>
      <c r="I417" s="4" t="s">
        <v>704</v>
      </c>
    </row>
    <row r="418" spans="1:9" x14ac:dyDescent="0.45">
      <c r="A418" t="s">
        <v>19</v>
      </c>
      <c r="B418" t="s">
        <v>613</v>
      </c>
      <c r="C418" s="4" t="s">
        <v>615</v>
      </c>
      <c r="D418" t="s">
        <v>57</v>
      </c>
      <c r="E418" t="s">
        <v>112</v>
      </c>
      <c r="F418" s="2">
        <v>46301</v>
      </c>
      <c r="G418" s="2"/>
      <c r="H418" s="2"/>
      <c r="I418" s="4" t="s">
        <v>615</v>
      </c>
    </row>
    <row r="419" spans="1:9" x14ac:dyDescent="0.45">
      <c r="A419" t="s">
        <v>19</v>
      </c>
      <c r="B419" t="s">
        <v>613</v>
      </c>
      <c r="C419" s="4" t="s">
        <v>617</v>
      </c>
      <c r="D419" t="s">
        <v>57</v>
      </c>
      <c r="E419" t="s">
        <v>112</v>
      </c>
      <c r="F419" s="2">
        <v>46301</v>
      </c>
      <c r="G419" s="2"/>
      <c r="H419" s="2"/>
      <c r="I419" s="4" t="s">
        <v>617</v>
      </c>
    </row>
    <row r="420" spans="1:9" x14ac:dyDescent="0.45">
      <c r="A420" t="s">
        <v>19</v>
      </c>
      <c r="B420" t="s">
        <v>613</v>
      </c>
      <c r="C420" s="4" t="s">
        <v>703</v>
      </c>
      <c r="D420" t="s">
        <v>57</v>
      </c>
      <c r="E420" t="s">
        <v>112</v>
      </c>
      <c r="F420" s="2">
        <v>46301</v>
      </c>
      <c r="G420" s="2"/>
      <c r="H420" s="2"/>
      <c r="I420" s="4" t="s">
        <v>703</v>
      </c>
    </row>
    <row r="421" spans="1:9" x14ac:dyDescent="0.45">
      <c r="A421" t="s">
        <v>19</v>
      </c>
      <c r="B421" t="s">
        <v>613</v>
      </c>
      <c r="C421" s="4" t="s">
        <v>705</v>
      </c>
      <c r="D421" t="s">
        <v>57</v>
      </c>
      <c r="E421" t="s">
        <v>112</v>
      </c>
      <c r="F421" s="2">
        <v>46301</v>
      </c>
      <c r="G421" s="2"/>
      <c r="H421" s="2"/>
      <c r="I421" s="4" t="s">
        <v>705</v>
      </c>
    </row>
    <row r="422" spans="1:9" x14ac:dyDescent="0.45">
      <c r="A422" t="s">
        <v>19</v>
      </c>
      <c r="B422" t="s">
        <v>613</v>
      </c>
      <c r="C422" s="4" t="s">
        <v>618</v>
      </c>
      <c r="D422" t="s">
        <v>57</v>
      </c>
      <c r="E422" t="s">
        <v>112</v>
      </c>
      <c r="F422" s="2">
        <v>46301</v>
      </c>
      <c r="G422" s="2"/>
      <c r="H422" s="2"/>
      <c r="I422" s="4" t="s">
        <v>618</v>
      </c>
    </row>
    <row r="423" spans="1:9" x14ac:dyDescent="0.45">
      <c r="A423" t="s">
        <v>19</v>
      </c>
      <c r="B423" t="s">
        <v>706</v>
      </c>
      <c r="C423" s="4" t="s">
        <v>707</v>
      </c>
      <c r="D423" t="s">
        <v>57</v>
      </c>
      <c r="E423" t="s">
        <v>112</v>
      </c>
      <c r="F423" s="2">
        <v>46301</v>
      </c>
      <c r="G423" s="2"/>
      <c r="H423" s="2"/>
      <c r="I423" s="4" t="s">
        <v>707</v>
      </c>
    </row>
    <row r="424" spans="1:9" x14ac:dyDescent="0.45">
      <c r="A424" t="s">
        <v>79</v>
      </c>
      <c r="B424" t="s">
        <v>708</v>
      </c>
      <c r="C424" t="s">
        <v>584</v>
      </c>
      <c r="D424" t="s">
        <v>57</v>
      </c>
      <c r="E424" t="s">
        <v>585</v>
      </c>
      <c r="F424" s="2">
        <v>46301</v>
      </c>
      <c r="G424" s="2"/>
      <c r="H424" s="2">
        <v>46330</v>
      </c>
      <c r="I424" s="4" t="s">
        <v>586</v>
      </c>
    </row>
    <row r="425" spans="1:9" x14ac:dyDescent="0.45">
      <c r="A425" t="s">
        <v>79</v>
      </c>
      <c r="B425" t="s">
        <v>709</v>
      </c>
      <c r="C425" t="s">
        <v>710</v>
      </c>
      <c r="D425" t="s">
        <v>57</v>
      </c>
      <c r="E425" t="s">
        <v>266</v>
      </c>
      <c r="F425" s="2">
        <v>46301</v>
      </c>
      <c r="G425" s="2"/>
      <c r="H425" s="2"/>
      <c r="I425" t="s">
        <v>418</v>
      </c>
    </row>
    <row r="426" spans="1:9" x14ac:dyDescent="0.45">
      <c r="A426" t="s">
        <v>19</v>
      </c>
      <c r="B426" t="s">
        <v>711</v>
      </c>
      <c r="C426" s="4" t="s">
        <v>712</v>
      </c>
      <c r="D426" t="s">
        <v>44</v>
      </c>
      <c r="E426" t="s">
        <v>713</v>
      </c>
      <c r="F426" s="2">
        <v>46301</v>
      </c>
      <c r="G426" s="2"/>
      <c r="H426" s="2"/>
      <c r="I426" s="4" t="s">
        <v>712</v>
      </c>
    </row>
    <row r="427" spans="1:9" x14ac:dyDescent="0.45">
      <c r="A427" t="s">
        <v>79</v>
      </c>
      <c r="B427" t="s">
        <v>416</v>
      </c>
      <c r="C427" t="s">
        <v>714</v>
      </c>
      <c r="D427" t="s">
        <v>57</v>
      </c>
      <c r="E427" t="s">
        <v>23</v>
      </c>
      <c r="F427" s="2">
        <v>46301</v>
      </c>
      <c r="G427" s="2"/>
      <c r="H427" s="2"/>
      <c r="I427" t="s">
        <v>418</v>
      </c>
    </row>
    <row r="428" spans="1:9" x14ac:dyDescent="0.45">
      <c r="A428" t="s">
        <v>79</v>
      </c>
      <c r="B428" t="s">
        <v>715</v>
      </c>
      <c r="C428" t="s">
        <v>716</v>
      </c>
      <c r="D428" t="s">
        <v>57</v>
      </c>
      <c r="E428" t="s">
        <v>717</v>
      </c>
      <c r="F428" s="2">
        <v>46301</v>
      </c>
      <c r="G428" s="2"/>
      <c r="H428" s="2"/>
      <c r="I428" t="s">
        <v>418</v>
      </c>
    </row>
    <row r="429" spans="1:9" x14ac:dyDescent="0.45">
      <c r="A429" t="s">
        <v>79</v>
      </c>
      <c r="B429" t="s">
        <v>506</v>
      </c>
      <c r="C429" t="s">
        <v>718</v>
      </c>
      <c r="D429" t="s">
        <v>57</v>
      </c>
      <c r="E429" t="s">
        <v>221</v>
      </c>
      <c r="F429" s="2">
        <v>46301</v>
      </c>
      <c r="G429" s="2"/>
      <c r="H429" s="2"/>
      <c r="I429" t="s">
        <v>418</v>
      </c>
    </row>
    <row r="430" spans="1:9" x14ac:dyDescent="0.45">
      <c r="A430" t="s">
        <v>79</v>
      </c>
      <c r="B430" t="s">
        <v>506</v>
      </c>
      <c r="C430" t="s">
        <v>719</v>
      </c>
      <c r="D430" t="s">
        <v>57</v>
      </c>
      <c r="E430" t="s">
        <v>221</v>
      </c>
      <c r="F430" s="2">
        <v>46301</v>
      </c>
      <c r="G430" s="2"/>
      <c r="H430" s="2"/>
      <c r="I430" t="s">
        <v>418</v>
      </c>
    </row>
    <row r="431" spans="1:9" x14ac:dyDescent="0.45">
      <c r="A431" t="s">
        <v>79</v>
      </c>
      <c r="B431" t="s">
        <v>720</v>
      </c>
      <c r="C431" t="s">
        <v>721</v>
      </c>
      <c r="D431" t="s">
        <v>44</v>
      </c>
      <c r="E431" t="s">
        <v>722</v>
      </c>
      <c r="F431" s="2">
        <v>46301</v>
      </c>
      <c r="G431" s="2"/>
      <c r="H431" s="2"/>
      <c r="I431" t="s">
        <v>418</v>
      </c>
    </row>
    <row r="432" spans="1:9" x14ac:dyDescent="0.45">
      <c r="A432" t="s">
        <v>79</v>
      </c>
      <c r="B432" t="s">
        <v>723</v>
      </c>
      <c r="C432" t="s">
        <v>724</v>
      </c>
      <c r="D432" t="s">
        <v>57</v>
      </c>
      <c r="E432" t="s">
        <v>23</v>
      </c>
      <c r="F432" s="2">
        <v>46301</v>
      </c>
      <c r="G432" s="2"/>
      <c r="H432" s="2"/>
      <c r="I432" t="s">
        <v>418</v>
      </c>
    </row>
    <row r="433" spans="1:9" x14ac:dyDescent="0.45">
      <c r="A433" t="s">
        <v>79</v>
      </c>
      <c r="B433" t="s">
        <v>723</v>
      </c>
      <c r="C433" t="s">
        <v>725</v>
      </c>
      <c r="D433" t="s">
        <v>57</v>
      </c>
      <c r="E433" t="s">
        <v>23</v>
      </c>
      <c r="F433" s="2">
        <v>46301</v>
      </c>
      <c r="G433" s="2"/>
      <c r="H433" s="2"/>
      <c r="I433" t="s">
        <v>418</v>
      </c>
    </row>
    <row r="434" spans="1:9" x14ac:dyDescent="0.45">
      <c r="A434" t="s">
        <v>79</v>
      </c>
      <c r="B434" t="s">
        <v>726</v>
      </c>
      <c r="C434" t="s">
        <v>727</v>
      </c>
      <c r="D434" t="s">
        <v>57</v>
      </c>
      <c r="E434" t="s">
        <v>728</v>
      </c>
      <c r="F434" s="2">
        <v>46301</v>
      </c>
      <c r="G434" s="2"/>
      <c r="H434" s="2"/>
      <c r="I434" t="s">
        <v>418</v>
      </c>
    </row>
    <row r="435" spans="1:9" x14ac:dyDescent="0.45">
      <c r="A435" t="s">
        <v>79</v>
      </c>
      <c r="B435" t="s">
        <v>729</v>
      </c>
      <c r="C435" t="s">
        <v>730</v>
      </c>
      <c r="D435" t="s">
        <v>57</v>
      </c>
      <c r="E435" t="s">
        <v>23</v>
      </c>
      <c r="F435" s="2">
        <v>46301</v>
      </c>
      <c r="G435" s="2"/>
      <c r="H435" s="2"/>
      <c r="I435" t="s">
        <v>418</v>
      </c>
    </row>
    <row r="436" spans="1:9" x14ac:dyDescent="0.45">
      <c r="A436" t="s">
        <v>79</v>
      </c>
      <c r="B436" t="s">
        <v>729</v>
      </c>
      <c r="C436" t="s">
        <v>72</v>
      </c>
      <c r="D436" t="s">
        <v>57</v>
      </c>
      <c r="E436" t="s">
        <v>23</v>
      </c>
      <c r="F436" s="2">
        <v>46301</v>
      </c>
      <c r="G436" s="2"/>
      <c r="H436" s="2"/>
      <c r="I436" t="s">
        <v>418</v>
      </c>
    </row>
    <row r="437" spans="1:9" x14ac:dyDescent="0.45">
      <c r="C437" s="24"/>
      <c r="G437" s="2"/>
      <c r="H437" s="2"/>
      <c r="I437" s="4"/>
    </row>
    <row r="438" spans="1:9" x14ac:dyDescent="0.45">
      <c r="G438" s="2"/>
      <c r="H438" s="2"/>
      <c r="I438" s="4"/>
    </row>
  </sheetData>
  <mergeCells count="2">
    <mergeCell ref="J3:K3"/>
    <mergeCell ref="J2:K2"/>
  </mergeCells>
  <conditionalFormatting sqref="A1:A1048576">
    <cfRule type="cellIs" dxfId="8" priority="4" operator="equal">
      <formula>"Unavailable"</formula>
    </cfRule>
    <cfRule type="containsText" dxfId="7" priority="5" operator="containsText" text="Refused">
      <formula>NOT(ISERROR(SEARCH("Refused",A1)))</formula>
    </cfRule>
    <cfRule type="containsText" dxfId="6" priority="7" operator="containsText" text="Not applied">
      <formula>NOT(ISERROR(SEARCH("Not applied",A1)))</formula>
    </cfRule>
    <cfRule type="containsText" dxfId="5" priority="8" operator="containsText" text="Applied">
      <formula>NOT(ISERROR(SEARCH("Applied",A1)))</formula>
    </cfRule>
  </conditionalFormatting>
  <dataValidations count="2">
    <dataValidation type="list" allowBlank="1" showInputMessage="1" showErrorMessage="1" sqref="A6:A438" xr:uid="{00000000-0002-0000-0000-000000000000}">
      <formula1>$A$6:$A$438</formula1>
    </dataValidation>
    <dataValidation type="list" showInputMessage="1" showErrorMessage="1" sqref="D6:D359 D369:D375 D398:D423" xr:uid="{00000000-0002-0000-0000-000001000000}">
      <formula1>$D$6:$D$438</formula1>
    </dataValidation>
  </dataValidations>
  <hyperlinks>
    <hyperlink ref="I8" r:id="rId1" display="https://emplois.carrieres.gouv.qc.ca/plateforme-emploi/poste/21629" xr:uid="{00000000-0004-0000-0000-000000000000}"/>
    <hyperlink ref="I9" r:id="rId2" display="https://emplois.carrieres.gouv.qc.ca/plateforme-emploi/libre-service/offres-emploi/poste/22229" xr:uid="{00000000-0004-0000-0000-000001000000}"/>
    <hyperlink ref="I11" r:id="rId3" display="https://emplois.carrieres.gouv.qc.ca/plateforme-emploi/libre-service/offres-emploi/poste/22163" xr:uid="{00000000-0004-0000-0000-000002000000}"/>
    <hyperlink ref="I12" r:id="rId4" display="https://emplois.carrieres.gouv.qc.ca/plateforme-emploi/libre-service/offres-emploi/poste/21904" xr:uid="{00000000-0004-0000-0000-000003000000}"/>
    <hyperlink ref="I14" r:id="rId5" display="https://emplois.carrieres.gouv.qc.ca/plateforme-emploi/libre-service/offres-emploi/poste/22344" xr:uid="{00000000-0004-0000-0000-000004000000}"/>
    <hyperlink ref="I15" r:id="rId6" display="https://emplois.carrieres.gouv.qc.ca/plateforme-emploi/libre-service/offres-emploi/poste/22328" xr:uid="{00000000-0004-0000-0000-000005000000}"/>
    <hyperlink ref="I30" r:id="rId7" display="https://www.squarepoint-capital.com/opportunity-details?id=7905463" xr:uid="{00000000-0004-0000-0000-000006000000}"/>
    <hyperlink ref="I32" r:id="rId8" display="https://careers.beenox.com/us/en/job/R027935/Stagiaire-Programmation-de-Moteur-Beenox-Hiver-2027" xr:uid="{00000000-0004-0000-0000-000007000000}"/>
    <hyperlink ref="I33" r:id="rId9" display="https://careers.beenox.com/us/en/job/R027943/Stagiaire-Design-de-syst%C3%A8me-Beenox-Hiver-2027" xr:uid="{00000000-0004-0000-0000-000008000000}"/>
    <hyperlink ref="I34" r:id="rId10" display="https://careers.beenox.com/us/en/job/R027942/Stagiaire-Ing%C3%A9nieur-d-outil-Beenox-Hiver-2027" xr:uid="{00000000-0004-0000-0000-000009000000}"/>
    <hyperlink ref="I35" r:id="rId11" display="https://careers.beenox.com/us/en/job/R027945/Stagiaire-Intelligence-des-affaires-Beenox-Hiver-2027" xr:uid="{00000000-0004-0000-0000-00000A000000}"/>
    <hyperlink ref="I36" r:id="rId12" display="https://careers.beenox.com/us/en/job/R027932/Stagiaire-en-production-Beenox-Hiver-2027" xr:uid="{00000000-0004-0000-0000-00000B000000}"/>
    <hyperlink ref="I37" r:id="rId13" display="https://careers.beenox.com/us/en/job/R027944/Stagiaire-Programmation-en-Jouabilit%C3%A9-Beenox-Hiver-2027" xr:uid="{00000000-0004-0000-0000-00000C000000}"/>
    <hyperlink ref="I38" r:id="rId14" display="https://careers.beenox.com/us/en/job/R027941/Stagiaire-Programmation-graphique-Beenox-Hiver-2027" xr:uid="{00000000-0004-0000-0000-00000D000000}"/>
    <hyperlink ref="I55" r:id="rId15" xr:uid="{00000000-0004-0000-0000-00000E000000}"/>
    <hyperlink ref="I56" r:id="rId16" display="https://www.linkedin.com/jobs/search-results/?currentJobId=4462711111&amp;eBP=NON_CHARGEABLE_CHANNEL&amp;refId=zhOnMBjjWlbK3gav40iXgA%3D%3D&amp;trackingId=Yf64mg9A9DkG2TgLpDPh%2Fw%3D%3D&amp;showHowYouFit=HOW_YOU_FIT&amp;keywords=stage%20en%20d%C3%A9veloppement%20logiciel&amp;origin=QUALIFICATION_LANDING&amp;geoId=90009543" xr:uid="{00000000-0004-0000-0000-00000F000000}"/>
    <hyperlink ref="I57" r:id="rId17" display="https://www.linkedin.com/jobs/search-results/?currentJobId=4462704383&amp;eBP=NON_CHARGEABLE_CHANNEL&amp;refId=ipIvV5qEyvihhAd%2F1eFFow%3D%3D&amp;trackingId=6eAgSF%2F58J%2FGwS5dlBDBWg%3D%3D&amp;showHowYouFit=HOW_YOU_FIT&amp;keywords=stage%20en%20d%C3%A9veloppement%20logiciel&amp;origin=QUALIFICATION_LANDING&amp;geoId=90009543" xr:uid="{00000000-0004-0000-0000-000010000000}"/>
    <hyperlink ref="I58" r:id="rId18" display="https://www.linkedin.com/jobs/search-results/?currentJobId=4404524700&amp;eBP=CwEAAAGgg5pSv4oz6YkxsRSimOMynrE15Dr9NldYTL9B1VqojtBWISMuNrxAVSiSINSZKqXyeHNRf0rpc4FvAagxozGXI7MAEwu8iJXumyPIs4ql3bPemXR-oFYKuFKN5-MZjFjGR2fCarDuR55ECelTz_DZktyrSeC8ZGBRgXXaNC1bM8vyiO2LHlfT4HPPWngt2m-bMpun5N67a9xvF4r1h9vQIwSQUc2jfTLOfhiHrzrjDR_JDmjCOYdWBdUEtMJvMpNYgUeK2fvZVFNzmd8y0ikURckoAK_Y7fdghdU0B54QttBwwn1X2zHkpMK6gP6ffBs0mMX8AkbFcK5KJq4vm0IZ8JVqHWeBxA8K9kK074nIgXU_e-KNYOVOBkFbLHCAFY9qbi5SWMP-Sy9Iz3BIeUDgeF_Yk3oMrvbv7Xj08VczV-jzWzzVA2WCkoz66XN9CnDastoE7s53BuQiiah7pLBgUc9oWJbTTKBQaDl8n8j2jg&amp;refId=ipIvV5qEyvihhAd%2F1eFFow%3D%3D&amp;trackingId=NnzoMrxNSbzBDGgPw4aQlw%3D%3D&amp;showHowYouFit=HOW_YOU_FIT&amp;keywords=stage%20en%20d%C3%A9veloppement%20logiciel&amp;origin=QUALIFICATION_LANDING&amp;geoId=90009543" xr:uid="{00000000-0004-0000-0000-000011000000}"/>
    <hyperlink ref="I59" r:id="rId19" display="https://www.linkedin.com/jobs/search-results/?currentJobId=4460253637&amp;eBP=CwEAAAGgg5pSwNxwSnIdLFNnSYsKjQKqgUZUU5NAmXTpT_Ja-mFaOa9cggR_zIXW6aWvL2-lguYmUIKG8f7rlbD_lMrTMOGSqEFs-oO1kmi77nZcjpgPSb4hcXi2sT0psZho_8UucYFImL7tYliJtrYZ300E5XuHURJj6pldgOYTiA9X0R8Qy9AowxbINAs6Xcxm8gwaRyejZ2TDB4y5AZQxraDrepem57HZeucVaZDHaQHLZZVV_OpX0ckda8p6hdTUZKFxpcwRpPl35G9HyGc4zn7eUxkUEuNfKYSurm--zIx0scMSZpDF9X9_hsc30mJ-hFiF1uacPKAnZyifHPSdK4V4G5yk56imA-dT_VP9GqZp7DiHcSkUaoCbW8cjaxZplje68JRl_ixsIh_Ms2R2lpZ2XnKs-Y7Nqr1iiKOo20seK7q5X6xP3nnV9HApTbk0x-3J9mqIIT-REBuU6ELugyEZjacXm1FxQGyCXw&amp;refId=ipIvV5qEyvihhAd%2F1eFFow%3D%3D&amp;trackingId=d1uTE0mmx82dEXKmQxqpuQ%3D%3D&amp;showHowYouFit=HOW_YOU_FIT&amp;keywords=stage%20en%20d%C3%A9veloppement%20logiciel&amp;origin=QUALIFICATION_LANDING&amp;geoId=90009543" xr:uid="{00000000-0004-0000-0000-000012000000}"/>
    <hyperlink ref="B60" r:id="rId20" display="https://www.linkedin.com/company/pmp-solutions/life/" xr:uid="{00000000-0004-0000-0000-000013000000}"/>
    <hyperlink ref="C60" r:id="rId21" display="https://www.linkedin.com/jobs/view/4437772079/?trackingId=VjZAwoINDIa%2Fau9vv0uJBg%3D%3D&amp;refId=ipIvV5qEyvihhAd%2F1eFFow%3D%3D&amp;eBP=NOT_ELIGIBLE_FOR_CHARGING&amp;alternateChannel=search&amp;isJobSearch=false" xr:uid="{00000000-0004-0000-0000-000014000000}"/>
    <hyperlink ref="I60" r:id="rId22" display="https://www.linkedin.com/jobs/search-results/?currentJobId=4437772079&amp;eBP=NOT_ELIGIBLE_FOR_CHARGING&amp;refId=ipIvV5qEyvihhAd%2F1eFFow%3D%3D&amp;trackingId=VjZAwoINDIa%2Fau9vv0uJBg%3D%3D&amp;showHowYouFit=HOW_YOU_FIT&amp;keywords=stage%20en%20d%C3%A9veloppement%20logiciel&amp;origin=QUALIFICATION_LANDING&amp;geoId=90009543" xr:uid="{00000000-0004-0000-0000-000015000000}"/>
    <hyperlink ref="B61" r:id="rId23" display="https://www.linkedin.com/company/kinaxis/life/" xr:uid="{00000000-0004-0000-0000-000016000000}"/>
    <hyperlink ref="C61" r:id="rId24" display="https://www.linkedin.com/jobs/view/4462898359/?trackingId=g4yIkAjU%2BUZhSlN8EFap6g%3D%3D&amp;refId=ipIvV5qEyvihhAd%2F1eFFow%3D%3D&amp;eBP=CwEAAAGgg5pSwNYqD9M7QCN4feMu5oY8a2kM3cCTOnJC-RAZqtBWuFsdHTGAyus0dVl07jjcZwPRWQOZ8GdCMxxX6vSLVveN8sgTmsZ1dUaMU_s2RXHpYpkHqbLGkEA-puz-U4K-UVCAM70yh5sI2RdvdFrxKWdOrCdZhGGa8DpWca_g4H5hvLad4m4cH3j9C3-W5xtp0Z3wV7Cmqv9hgg7AG5UKOvlfwM-MY6oRnJHrUb8zEmuKgzRmPxMYAZmbQarAI7JwSJALEujaFbFHLLiX2neBEIqUwPkXlMcmAqita_yRn1ZA2YGVwW0VFM7xHAI6_XBnUy9xxn93E3V8ILxy-M8qhT9EdRUqp3mF9c7fHHV5o6LJHwgG31BTIRRnw6OEJmdS6heT-Y5G1I770ej5okNA3ztSbtre0-mPaJOBb41XignDuBfvcq6oXmUzLcG_y_TEvCo2lRSzh--YaBSpX3ugcDR9DHFrDZcdk1MMN2oYjQ&amp;alternateChannel=search&amp;isJobSearch=false" xr:uid="{00000000-0004-0000-0000-000017000000}"/>
    <hyperlink ref="I61" r:id="rId25" display="https://www.linkedin.com/jobs/search-results/?currentJobId=4462898359&amp;eBP=CwEAAAGgg5pSwNYqD9M7QCN4feMu5oY8a2kM3cCTOnJC-RAZqtBWuFsdHTGAyus0dVl07jjcZwPRWQOZ8GdCMxxX6vSLVveN8sgTmsZ1dUaMU_s2RXHpYpkHqbLGkEA-puz-U4K-UVCAM70yh5sI2RdvdFrxKWdOrCdZhGGa8DpWca_g4H5hvLad4m4cH3j9C3-W5xtp0Z3wV7Cmqv9hgg7AG5UKOvlfwM-MY6oRnJHrUb8zEmuKgzRmPxMYAZmbQarAI7JwSJALEujaFbFHLLiX2neBEIqUwPkXlMcmAqita_yRn1ZA2YGVwW0VFM7xHAI6_XBnUy9xxn93E3V8ILxy-M8qhT9EdRUqp3mF9c7fHHV5o6LJHwgG31BTIRRnw6OEJmdS6heT-Y5G1I770ej5okNA3ztSbtre0-mPaJOBb41XignDuBfvcq6oXmUzLcG_y_TEvCo2lRSzh--YaBSpX3ugcDR9DHFrDZcdk1MMN2oYjQ&amp;refId=ipIvV5qEyvihhAd%2F1eFFow%3D%3D&amp;trackingId=g4yIkAjU%2BUZhSlN8EFap6g%3D%3D&amp;showHowYouFit=HOW_YOU_FIT&amp;keywords=stage%20en%20d%C3%A9veloppement%20logiciel&amp;origin=QUALIFICATION_LANDING&amp;geoId=90009543" xr:uid="{00000000-0004-0000-0000-000018000000}"/>
    <hyperlink ref="B62" r:id="rId26" display="https://www.linkedin.com/company/kinaxis/life/" xr:uid="{00000000-0004-0000-0000-000019000000}"/>
    <hyperlink ref="C62" r:id="rId27" display="https://www.linkedin.com/jobs/view/4462889469/?trackingId=kL8g5ouEyDi%2FXZDyifXdNQ%3D%3D&amp;refId=ipIvV5qEyvihhAd%2F1eFFow%3D%3D&amp;eBP=CwEAAAGgg5pSwBg5tNL5L-cpZ9w1Jc1fl3-raI_c40O4LWhPz1rG524PfuvbYfy4ou5H8TbGgGEXBJ6Sq15f770CDv_RNjkjF0A2t2NT2_rLui2qxr7LANvQZsdd8Rn0X5QAqp0q_Ub3LVPX9-5H8TKlNID2sUVndCW_ndWRU__dXATmhYP1IS0x9PdL0yxP9fS0MnXDPMyeAwJqdrVuzswnCturCkIC-N9e3GgcijgTPjXEHCLMgrr4VX7vSr6J33B7fSYwEVqWzpRKFuzYjWOiJpaWSgkYc_x_o3dFvNtNjK8tqBl-2OOgrgiFXBHcgd-XLwOLpq_GBFHjQT0MPV7XbmA8pYNTqAj5eKxE-43odFq5o3O821tNsFd9zcaDd4FHwg94tJ1jI9_8H8LU2M2tkNkNuvOTzkbmGWETptT3hENLHTO06ie0ccg72pFmqjQbvwfsszO9IF-FAsp3O-UAqtcbR_X9aTfRqWmB5r3kETEEyqmt&amp;alternateChannel=search&amp;isJobSearch=false" xr:uid="{00000000-0004-0000-0000-00001A000000}"/>
    <hyperlink ref="I62" r:id="rId28" display="https://www.linkedin.com/jobs/search-results/?currentJobId=4462889469&amp;eBP=CwEAAAGgg5pSwBg5tNL5L-cpZ9w1Jc1fl3-raI_c40O4LWhPz1rG524PfuvbYfy4ou5H8TbGgGEXBJ6Sq15f770CDv_RNjkjF0A2t2NT2_rLui2qxr7LANvQZsdd8Rn0X5QAqp0q_Ub3LVPX9-5H8TKlNID2sUVndCW_ndWRU__dXATmhYP1IS0x9PdL0yxP9fS0MnXDPMyeAwJqdrVuzswnCturCkIC-N9e3GgcijgTPjXEHCLMgrr4VX7vSr6J33B7fSYwEVqWzpRKFuzYjWOiJpaWSgkYc_x_o3dFvNtNjK8tqBl-2OOgrgiFXBHcgd-XLwOLpq_GBFHjQT0MPV7XbmA8pYNTqAj5eKxE-43odFq5o3O821tNsFd9zcaDd4FHwg94tJ1jI9_8H8LU2M2tkNkNuvOTzkbmGWETptT3hENLHTO06ie0ccg72pFmqjQbvwfsszO9IF-FAsp3O-UAqtcbR_X9aTfRqWmB5r3kETEEyqmt&amp;refId=ipIvV5qEyvihhAd%2F1eFFow%3D%3D&amp;trackingId=kL8g5ouEyDi%2FXZDyifXdNQ%3D%3D&amp;showHowYouFit=HOW_YOU_FIT&amp;keywords=stage%20en%20d%C3%A9veloppement%20logiciel&amp;origin=QUALIFICATION_LANDING&amp;geoId=90009543" xr:uid="{00000000-0004-0000-0000-00001B000000}"/>
    <hyperlink ref="B63" r:id="rId29" display="https://www.linkedin.com/company/flare-io/life/" xr:uid="{00000000-0004-0000-0000-00001C000000}"/>
    <hyperlink ref="C63" r:id="rId30" display="https://www.linkedin.com/jobs/view/4447254461/?trackingId=314fWdfrTKoJfZQT4MlZsw%3D%3D&amp;refId=KGaBqmUfqtwbontFfBXpZw%3D%3D&amp;eBP=NOT_ELIGIBLE_FOR_CHARGING&amp;alternateChannel=search&amp;isJobSearch=false" xr:uid="{00000000-0004-0000-0000-00001D000000}"/>
    <hyperlink ref="I63" r:id="rId31" display="https://www.linkedin.com/jobs/search-results/?currentJobId=4447254461&amp;eBP=NOT_ELIGIBLE_FOR_CHARGING&amp;refId=KGaBqmUfqtwbontFfBXpZw%3D%3D&amp;trackingId=314fWdfrTKoJfZQT4MlZsw%3D%3D&amp;keywords=freshman%20intern%20software%20engineering&amp;origin=SEMANTIC_SEARCH_LANDING_PAGE" xr:uid="{00000000-0004-0000-0000-00001E000000}"/>
    <hyperlink ref="B64" r:id="rId32" display="https://www.linkedin.com/company/intelcom-dragonfly/life/" xr:uid="{00000000-0004-0000-0000-00001F000000}"/>
    <hyperlink ref="C64" r:id="rId33" display="https://www.linkedin.com/jobs/view/4462079429/?trackingId=OiPbE%2FzyACunhgbNfBUckw%3D%3D&amp;refId=KGaBqmUfqtwbontFfBXpZw%3D%3D&amp;eBP=CwEAAAGgg51nvRJwCQlUb6CGpCrd55wPe1rD4MG8DiRUd7Yq75ksuZmi6wEkzs1bhejs8UsD2JL5f3LC-IiSxN1kAP-lMIY6qvOjofPlMRGgoMOEgYivil2PfyYsNcrwn9USP1xLJd2VuA0bVd9ys1CutBr7l7nQwlqwvpKMpW8KPlNFgofA3fQ50Qb1cWabOI6DBKDyxaceC1kil1Gs1m22ThHDQ5hCJtsg41HxcAfVeraQN_tFdorarukvP1jgFfuN2HqVfSsMjr47gaaI4Qgk7-jSwTMtUB9s-AmyWSEZkj2qKMLNplfzu9hTHixneoc_Kgkd4U-YxDK0OwJ0IzXQCmhoSdahMHgLqSZa0vbTPWNshrrG4G-RiAH5-8y_nES10CNZkkquWR0pyrXR0czm5N1X9GfdB2XnUEt22nRZIPrjz5gfsGt14oXi53j25AEol-4kNIMwKxPOEW6dIxuXMYlqR31ZONfoReASjVI&amp;alternateChannel=search&amp;isJobSearch=false" xr:uid="{00000000-0004-0000-0000-000020000000}"/>
    <hyperlink ref="I64" r:id="rId34" display="https://www.linkedin.com/jobs/search-results/?currentJobId=4462079429&amp;eBP=CwEAAAGgg51nvRJwCQlUb6CGpCrd55wPe1rD4MG8DiRUd7Yq75ksuZmi6wEkzs1bhejs8UsD2JL5f3LC-IiSxN1kAP-lMIY6qvOjofPlMRGgoMOEgYivil2PfyYsNcrwn9USP1xLJd2VuA0bVd9ys1CutBr7l7nQwlqwvpKMpW8KPlNFgofA3fQ50Qb1cWabOI6DBKDyxaceC1kil1Gs1m22ThHDQ5hCJtsg41HxcAfVeraQN_tFdorarukvP1jgFfuN2HqVfSsMjr47gaaI4Qgk7-jSwTMtUB9s-AmyWSEZkj2qKMLNplfzu9hTHixneoc_Kgkd4U-YxDK0OwJ0IzXQCmhoSdahMHgLqSZa0vbTPWNshrrG4G-RiAH5-8y_nES10CNZkkquWR0pyrXR0czm5N1X9GfdB2XnUEt22nRZIPrjz5gfsGt14oXi53j25AEol-4kNIMwKxPOEW6dIxuXMYlqR31ZONfoReASjVI&amp;refId=KGaBqmUfqtwbontFfBXpZw%3D%3D&amp;trackingId=OiPbE%2FzyACunhgbNfBUckw%3D%3D&amp;keywords=freshman%20intern%20software%20engineering&amp;origin=SEMANTIC_SEARCH_LANDING_PAGE" xr:uid="{00000000-0004-0000-0000-000021000000}"/>
    <hyperlink ref="B65" r:id="rId35" display="https://www.linkedin.com/company/kpmg-canada/life/" xr:uid="{00000000-0004-0000-0000-000022000000}"/>
    <hyperlink ref="C65" r:id="rId36" display="https://www.linkedin.com/jobs/view/4404519706/?trackingId=w8Aw4TqFZ4A%2FgTsjy8ygOw%3D%3D&amp;refId=KGaBqmUfqtwbontFfBXpZw%3D%3D&amp;eBP=CwEAAAGgg51nvdpkZS14I6tcm6mOl2asbCOM770yAkh3btp34mvT0SbMUvB5C1ZrSR4QvCOZ2spHt4XVT9MHY-eUFLinUszdoxgMc87WdowcEuoUnUWHlku8O7qSd9MODBTi3iuhnhYqpjbKU_6tO9rAQqcprOMfwDSd9TD1QTaD0JKftCVO2Oys3l0KQbcS6q3DfpNzVQGE6GNzqvzR1BLIFU98w8Pxmjr_ctRHKO_L4dm5CzT0IgRL-aX1hyfAlmY1uYeysGI1VpYllebAPMkohheZGxzL3r6w4O5oacuZcrNWmk-EQ9kjx5LvwhxlvqgMnSwb6n3jm-HLhQg_j-WhrOW7dBFqXMVozxIr7dkq9vXNUQfNiMMwlg4yLEVru4uj4GIQmr9EM5WauX-C4Oi6uy7sju_juJGcCvbA-eddXFyVFv-9ZcXzhMcC_A3I5dOpqoritfFiOAqpD06EsKaC_pEdqOaUTlmldCdn&amp;alternateChannel=search&amp;isJobSearch=false" xr:uid="{00000000-0004-0000-0000-000023000000}"/>
    <hyperlink ref="I65" r:id="rId37" display="https://www.linkedin.com/jobs/search-results/?currentJobId=4404519706&amp;eBP=CwEAAAGgg51nvdpkZS14I6tcm6mOl2asbCOM770yAkh3btp34mvT0SbMUvB5C1ZrSR4QvCOZ2spHt4XVT9MHY-eUFLinUszdoxgMc87WdowcEuoUnUWHlku8O7qSd9MODBTi3iuhnhYqpjbKU_6tO9rAQqcprOMfwDSd9TD1QTaD0JKftCVO2Oys3l0KQbcS6q3DfpNzVQGE6GNzqvzR1BLIFU98w8Pxmjr_ctRHKO_L4dm5CzT0IgRL-aX1hyfAlmY1uYeysGI1VpYllebAPMkohheZGxzL3r6w4O5oacuZcrNWmk-EQ9kjx5LvwhxlvqgMnSwb6n3jm-HLhQg_j-WhrOW7dBFqXMVozxIr7dkq9vXNUQfNiMMwlg4yLEVru4uj4GIQmr9EM5WauX-C4Oi6uy7sju_juJGcCvbA-eddXFyVFv-9ZcXzhMcC_A3I5dOpqoritfFiOAqpD06EsKaC_pEdqOaUTlmldCdn&amp;refId=KGaBqmUfqtwbontFfBXpZw%3D%3D&amp;trackingId=w8Aw4TqFZ4A%2FgTsjy8ygOw%3D%3D&amp;keywords=freshman%20intern%20software%20engineering&amp;origin=SEMANTIC_SEARCH_LANDING_PAGE" xr:uid="{00000000-0004-0000-0000-000024000000}"/>
    <hyperlink ref="B66" r:id="rId38" display="https://www.linkedin.com/company/exfo/life/" xr:uid="{00000000-0004-0000-0000-000025000000}"/>
    <hyperlink ref="C66" r:id="rId39" display="https://www.linkedin.com/jobs/view/4461795309/?trackingId=TqdXMhHr8wUqYaZ74JLsXQ%3D%3D&amp;refId=KGaBqmUfqtwbontFfBXpZw%3D%3D&amp;eBP=CwEAAAGgg51nvaS9uSRm4bszWooPUfVghqgOtwGfl_hCeLw9WzRCE5Wu8nPvX3cEUz6QiDs1pxa8QmUgm0edbz6_dVrG_X6-24kb6k_05Efi3MrGqPX8-FvhrLxB7AenYyc_Cf-yTr5f6onCjmaY2yGwNYuh4XROuOW4-iHdiMUOQVxRoXSrHHK6hzNzprcAE5d4pbwxFdBz9u1rGNI_6LhDbiNhh0OrLuwTN0375ZAsIsZNy4sjYGab75s19NroRkC0w0rltJTQpLows3G4kOnk-P4Vdci_pxlM2liMoxSVBPa_uC8nRoryrkr7ypOGyLCERAfNAExU18KpKdXxtoqdx2fD2w9fyEJ4Bf3znP_cpZPn3LZ-DFgNPIoVTmLFX3VIE1eqJ6xW4KrGmf-Mkrzr2Fxi5_LiUAmaPj9IEijvIOv7vPk-TBqCR8OZ_THb0ygdubQLCwiO-jrwpNano9DlmcYQIEAG7_wewqtd&amp;alternateChannel=search&amp;isJobSearch=false" xr:uid="{00000000-0004-0000-0000-000026000000}"/>
    <hyperlink ref="I66" r:id="rId40" display="https://www.linkedin.com/jobs/search-results/?currentJobId=4461795309&amp;eBP=CwEAAAGgg51nvaS9uSRm4bszWooPUfVghqgOtwGfl_hCeLw9WzRCE5Wu8nPvX3cEUz6QiDs1pxa8QmUgm0edbz6_dVrG_X6-24kb6k_05Efi3MrGqPX8-FvhrLxB7AenYyc_Cf-yTr5f6onCjmaY2yGwNYuh4XROuOW4-iHdiMUOQVxRoXSrHHK6hzNzprcAE5d4pbwxFdBz9u1rGNI_6LhDbiNhh0OrLuwTN0375ZAsIsZNy4sjYGab75s19NroRkC0w0rltJTQpLows3G4kOnk-P4Vdci_pxlM2liMoxSVBPa_uC8nRoryrkr7ypOGyLCERAfNAExU18KpKdXxtoqdx2fD2w9fyEJ4Bf3znP_cpZPn3LZ-DFgNPIoVTmLFX3VIE1eqJ6xW4KrGmf-Mkrzr2Fxi5_LiUAmaPj9IEijvIOv7vPk-TBqCR8OZ_THb0ygdubQLCwiO-jrwpNano9DlmcYQIEAG7_wewqtd&amp;refId=KGaBqmUfqtwbontFfBXpZw%3D%3D&amp;trackingId=TqdXMhHr8wUqYaZ74JLsXQ%3D%3D&amp;keywords=freshman%20intern%20software%20engineering&amp;origin=SEMANTIC_SEARCH_LANDING_PAGE" xr:uid="{00000000-0004-0000-0000-000027000000}"/>
    <hyperlink ref="B67" r:id="rId41" display="https://www.linkedin.com/company/grassvalley/life/" xr:uid="{00000000-0004-0000-0000-000028000000}"/>
    <hyperlink ref="C67" r:id="rId42" display="https://www.linkedin.com/jobs/view/4459522711/?trackingId=RUtCS3TnLcLViV%2F5x594UQ%3D%3D&amp;refId=KGaBqmUfqtwbontFfBXpZw%3D%3D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alternateChannel=search&amp;isJobSearch=false" xr:uid="{00000000-0004-0000-0000-000029000000}"/>
    <hyperlink ref="I67" r:id="rId43" display="https://www.linkedin.com/jobs/search-results/?currentJobId=4459522711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refId=KGaBqmUfqtwbontFfBXpZw%3D%3D&amp;trackingId=RUtCS3TnLcLViV%2F5x594UQ%3D%3D&amp;keywords=freshman%20intern%20software%20engineering&amp;origin=SEMANTIC_SEARCH_LANDING_PAGE" xr:uid="{00000000-0004-0000-0000-00002A000000}"/>
    <hyperlink ref="B68" r:id="rId44" display="https://www.linkedin.com/company/grassvalley/life/" xr:uid="{00000000-0004-0000-0000-00002B000000}"/>
    <hyperlink ref="C68" r:id="rId45" display="https://www.linkedin.com/jobs/view/4459522711/?trackingId=RUtCS3TnLcLViV%2F5x594UQ%3D%3D&amp;refId=KGaBqmUfqtwbontFfBXpZw%3D%3D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alternateChannel=search&amp;isJobSearch=false" xr:uid="{00000000-0004-0000-0000-00002C000000}"/>
    <hyperlink ref="I68" r:id="rId46" display="https://www.linkedin.com/jobs/search-results/?currentJobId=4459522711&amp;eBP=CwEAAAGgg51nvZkiEpQXfy_hqXjhmzQbMvKouwBh4AiICLHNom9ZqtjC_TcTXMqNXx1jzEx5QhcKaGEEDbbcmL36U4iIvAwFYdkfuSfSZmNZF54khd0M2qJGopFx2I0ej-t0ResjXu_xl2A-ZiOAv96GrPj6OGBvxNwBxS4fL3hjmRhY-XbkuyEANcHVXWzcLBd-dKBv4k8vdjreI619Irir7QHWRdshc1QQxxjhNX7fC0V0DaPRqQnJINyKm2D6X_jNkpr2Fxug_ANR9kcar9p5or_uqZCmaDiUAOxCm0L-zNVTEIhsqlwAURa-sxDgnD0VXa5ih0cLB1DTrdpMhgf-Q3pibZJ-N_-3Kdi7nlwULOfqSUH9w4-qWiPgpTH59r3h41AG9jj0Sto4EFh5D0JOGhNDqfPqNIIoxG9G8xrBD07VoHzFUL5uC92XIXjx3iN9w8a5XGImsEWG0aWk2R2SIxXK8rOMrmuJXfvCC-M&amp;refId=KGaBqmUfqtwbontFfBXpZw%3D%3D&amp;trackingId=RUtCS3TnLcLViV%2F5x594UQ%3D%3D&amp;keywords=freshman%20intern%20software%20engineering&amp;origin=SEMANTIC_SEARCH_LANDING_PAGE" xr:uid="{00000000-0004-0000-0000-00002D000000}"/>
    <hyperlink ref="B69" r:id="rId47" display="https://www.linkedin.com/company/intact/life/" xr:uid="{00000000-0004-0000-0000-00002E000000}"/>
    <hyperlink ref="C69" r:id="rId48" display="https://www.linkedin.com/jobs/view/4463548250/?trackingId=tArbCkiY4jd7nzWSskffPw%3D%3D&amp;refId=KGaBqmUfqtwbontFfBXpZw%3D%3D&amp;eBP=CwEAAAGgg51nvci9OkLe_L7s_jJVGNHurAdoNkyHYRDe991W5r3AqwQO1PzjeU_WOzQkLKlS5VPv324tF3iqfHkLtHRxHjrNkItu5rERexJuDk3-g_q2hZQuUuhsJYp0oVG2in59ta2Oyw965c7cMIfxk1Um056_d29eQgNItMhZy_Mzq8alehMI7XUKMin_NMbsRRoWvPRfB4ZbvU-BOUZpA_BEuhu7-05_YGE4Zneo9XtNCv3e-hdrIUQCuRHVh8Z5cuyDU6MuwgT_Qg2BOXGn5YnU3BUpZmkJTbGyroii2jCAjsiLhWs2TGV5NEy3qXKLc2Bqz_HvpY9XvaS1dj3eMBHdHP_-Sqx1F4S3DEhzSj0v-xJoyRYrkTcoqRVQFRWjt2mUXXaz-eFuUaUqVVxXKl7s1waC0ZG0A-LdPXVx2jtewrWg5L80cEnWartk-2-8MJwoUCUccwQNIUTYR0Ut_PS2qoh_2IL1TYXMcfxO2w&amp;alternateChannel=search&amp;isJobSearch=false" xr:uid="{00000000-0004-0000-0000-00002F000000}"/>
    <hyperlink ref="I69" r:id="rId49" display="https://www.linkedin.com/jobs/search-results/?currentJobId=4463548250&amp;eBP=CwEAAAGgg51nvci9OkLe_L7s_jJVGNHurAdoNkyHYRDe991W5r3AqwQO1PzjeU_WOzQkLKlS5VPv324tF3iqfHkLtHRxHjrNkItu5rERexJuDk3-g_q2hZQuUuhsJYp0oVG2in59ta2Oyw965c7cMIfxk1Um056_d29eQgNItMhZy_Mzq8alehMI7XUKMin_NMbsRRoWvPRfB4ZbvU-BOUZpA_BEuhu7-05_YGE4Zneo9XtNCv3e-hdrIUQCuRHVh8Z5cuyDU6MuwgT_Qg2BOXGn5YnU3BUpZmkJTbGyroii2jCAjsiLhWs2TGV5NEy3qXKLc2Bqz_HvpY9XvaS1dj3eMBHdHP_-Sqx1F4S3DEhzSj0v-xJoyRYrkTcoqRVQFRWjt2mUXXaz-eFuUaUqVVxXKl7s1waC0ZG0A-LdPXVx2jtewrWg5L80cEnWartk-2-8MJwoUCUccwQNIUTYR0Ut_PS2qoh_2IL1TYXMcfxO2w&amp;refId=KGaBqmUfqtwbontFfBXpZw%3D%3D&amp;trackingId=tArbCkiY4jd7nzWSskffPw%3D%3D&amp;keywords=freshman%20intern%20software%20engineering&amp;origin=SEMANTIC_SEARCH_LANDING_PAGE" xr:uid="{00000000-0004-0000-0000-000030000000}"/>
    <hyperlink ref="B70" r:id="rId50" display="https://www.linkedin.com/company/ericsson/life/" xr:uid="{00000000-0004-0000-0000-000031000000}"/>
    <hyperlink ref="C70" r:id="rId51" display="https://www.linkedin.com/jobs/view/4461949476/?trackingId=DvkAd2Kg%2FtP36CbkYxNaNQ%3D%3D&amp;refId=KGaBqmUfqtwbontFfBXpZw%3D%3D&amp;eBP=CwEAAAGgg51nvXeApu1HOQwQzwCvu3KdfuUoXucuLDtuEwW_9JjnGtp4mzP9LHPrz8Bqm1VNljnyyJ3SuJpJRIFGi3UjqgleVDaUbI7k6orOdwgJT51Hq0muZrhFIFNt8DjGQZk2aWyiYviRhpb4dLfjPZ66tUbBGvQJ3hSkTNuqv7vP46OZAHJqDjh7xjnxVrwcnCZ1ePEJxUpAH5Bg0C2iMD-eGoR8JM_s5mJNE1-PFYQFrkkCQVIi_fEoFdo0V93wvQGY-r3vL7kes1K4taJwyIjiNzQYseeAvYkCAPgE4q-cvhppuZNoqDPCL6CGn8ouhkBpN6HnveKCEJljStMw88mtzgMrsYr5cZ2lk8fvflejevkeSdkP96nY7uP2z_pP7q1Eu1rx2kKyzs0I2xZ1fJl7W3X3puoqMIpQKZ9jLIMj9bWcCHIQGq1fGYXHDo9FZmltavczqwtcXvyPlnliQgtEY9N2WDIDWnm-0X8&amp;alternateChannel=search&amp;isJobSearch=false" xr:uid="{00000000-0004-0000-0000-000032000000}"/>
    <hyperlink ref="I70" r:id="rId52" display="https://www.linkedin.com/jobs/search-results/?currentJobId=4461949476&amp;eBP=CwEAAAGgg51nvXeApu1HOQwQzwCvu3KdfuUoXucuLDtuEwW_9JjnGtp4mzP9LHPrz8Bqm1VNljnyyJ3SuJpJRIFGi3UjqgleVDaUbI7k6orOdwgJT51Hq0muZrhFIFNt8DjGQZk2aWyiYviRhpb4dLfjPZ66tUbBGvQJ3hSkTNuqv7vP46OZAHJqDjh7xjnxVrwcnCZ1ePEJxUpAH5Bg0C2iMD-eGoR8JM_s5mJNE1-PFYQFrkkCQVIi_fEoFdo0V93wvQGY-r3vL7kes1K4taJwyIjiNzQYseeAvYkCAPgE4q-cvhppuZNoqDPCL6CGn8ouhkBpN6HnveKCEJljStMw88mtzgMrsYr5cZ2lk8fvflejevkeSdkP96nY7uP2z_pP7q1Eu1rx2kKyzs0I2xZ1fJl7W3X3puoqMIpQKZ9jLIMj9bWcCHIQGq1fGYXHDo9FZmltavczqwtcXvyPlnliQgtEY9N2WDIDWnm-0X8&amp;refId=KGaBqmUfqtwbontFfBXpZw%3D%3D&amp;trackingId=DvkAd2Kg%2FtP36CbkYxNaNQ%3D%3D&amp;keywords=freshman%20intern%20software%20engineering&amp;origin=SEMANTIC_SEARCH_LANDING_PAGE" xr:uid="{00000000-0004-0000-0000-000033000000}"/>
    <hyperlink ref="B71" r:id="rId53" display="https://www.linkedin.com/company/compassanalytics/life/" xr:uid="{00000000-0004-0000-0000-000034000000}"/>
    <hyperlink ref="C71" r:id="rId54" display="https://www.linkedin.com/jobs/view/4415142798/?trackingId=5%2FW%2BlXRqouo8G7xsaXadnw%3D%3D&amp;refId=KGaBqmUfqtwbontFfBXpZw%3D%3D&amp;eBP=NOT_ELIGIBLE_FOR_CHARGING&amp;alternateChannel=search&amp;isJobSearch=false" xr:uid="{00000000-0004-0000-0000-000035000000}"/>
    <hyperlink ref="I71" r:id="rId55" display="https://www.linkedin.com/jobs/search-results/?currentJobId=4415142798&amp;eBP=NOT_ELIGIBLE_FOR_CHARGING&amp;refId=KGaBqmUfqtwbontFfBXpZw%3D%3D&amp;trackingId=5%2FW%2BlXRqouo8G7xsaXadnw%3D%3D&amp;keywords=freshman%20intern%20software%20engineering&amp;origin=SEMANTIC_SEARCH_LANDING_PAGE" xr:uid="{00000000-0004-0000-0000-000036000000}"/>
    <hyperlink ref="B72" r:id="rId56" display="https://www.linkedin.com/company/sap/life/" xr:uid="{00000000-0004-0000-0000-000037000000}"/>
    <hyperlink ref="C72" r:id="rId57" display="https://www.linkedin.com/jobs/view/4451944512/?trackingId=y2O0pUPhxVDpfAC71Q8chA%3D%3D&amp;refId=KGaBqmUfqtwbontFfBXpZw%3D%3D&amp;eBP=CwEAAAGgg51nvbX7PN6TRWBaimWvhwcgggapKhOan0Yz3R70YE1bG4I-R9vh3NPd5dcvpy1D4-etHnLDrzA4Pkf1LeSSU0kp3hR3idVLKW41BhpnFPD_-AGtiuCIqiNeNWX5EY7ovMtI1mPUixmkEaihw9Q7ETqSC_CwU_YisIgp9dFBL1eXwCdPxik8DLCHZc-kbwZu_nc8JYHhZp8Tx4LR9LiboWHXj_2v3G5XaHxLxmQViiE--CHpZzsBLIFZLTsK3EH5YtLYSdOZNiR63gTMGIfr2UF5lfrxWcyw2iwM2IoURoZxQT3Aqaze0E8QGea5w0-NO0qPHJvbq5qesDcNNOdzE4aCvH0jwm0e1AMiqj2WY3iu_7R0mdJzndXZ4gYVTWPfwVsrFLbq2Ba-TWpolUYozu_bK6uCksLxfF9gCqlHb-5hsJ5JuSdw6SgqMzZ02DOkGuurlZT_Igm6T7KvPOv91879Fso9rp2P&amp;alternateChannel=search&amp;isJobSearch=false" xr:uid="{00000000-0004-0000-0000-000038000000}"/>
    <hyperlink ref="I72" r:id="rId58" display="https://www.linkedin.com/jobs/search-results/?currentJobId=4451944512&amp;eBP=CwEAAAGgg51nvbX7PN6TRWBaimWvhwcgggapKhOan0Yz3R70YE1bG4I-R9vh3NPd5dcvpy1D4-etHnLDrzA4Pkf1LeSSU0kp3hR3idVLKW41BhpnFPD_-AGtiuCIqiNeNWX5EY7ovMtI1mPUixmkEaihw9Q7ETqSC_CwU_YisIgp9dFBL1eXwCdPxik8DLCHZc-kbwZu_nc8JYHhZp8Tx4LR9LiboWHXj_2v3G5XaHxLxmQViiE--CHpZzsBLIFZLTsK3EH5YtLYSdOZNiR63gTMGIfr2UF5lfrxWcyw2iwM2IoURoZxQT3Aqaze0E8QGea5w0-NO0qPHJvbq5qesDcNNOdzE4aCvH0jwm0e1AMiqj2WY3iu_7R0mdJzndXZ4gYVTWPfwVsrFLbq2Ba-TWpolUYozu_bK6uCksLxfF9gCqlHb-5hsJ5JuSdw6SgqMzZ02DOkGuurlZT_Igm6T7KvPOv91879Fso9rp2P&amp;refId=KGaBqmUfqtwbontFfBXpZw%3D%3D&amp;trackingId=y2O0pUPhxVDpfAC71Q8chA%3D%3D&amp;keywords=freshman%20intern%20software%20engineering&amp;origin=SEMANTIC_SEARCH_LANDING_PAGE" xr:uid="{00000000-0004-0000-0000-000039000000}"/>
    <hyperlink ref="B73" r:id="rId59" display="https://www.linkedin.com/company/flexspring/life/" xr:uid="{00000000-0004-0000-0000-00003A000000}"/>
    <hyperlink ref="C73" r:id="rId60" display="https://www.linkedin.com/jobs/view/4460643431/?trackingId=F07c%2F5NEu8n5%2BAbDfPRmYA%3D%3D&amp;refId=KGaBqmUfqtwbontFfBXpZw%3D%3D&amp;eBP=CwEAAAGgg51nveDyhohUQfW-YPoK-CXMiGGXlEWwobJJaUSVxc_bdpnXcwGC_Vhn1ossNrOrGMOdJZXPmKUh05-mQWSflP2b9jZ3rdf68JcO2IkvUOjk576Xewq-JP3vLHCaR4792KhJPPeXsx8d-9tFDNYLYT1x-JWWPDbx-nRCskxiBbuuE-sA48OtVeIGjcGsiu_D22y5d0PAn79CzpsfIfMy7wg0w1obu8UEpGxLp1I_NZkUz1AS-xMyN4DxyP-4-MTtOxmThcNSInVXGin577aNsbOgUvecYS-dIL62QsvwYEABSaYzZviGH_ySjzBSJUBPICUTkRUasKKixxosbFsw01l3Mr74tr3w_Y59TEPHMjWqXUhdJWdkIeJJdDJXzrLiG72POHVMsH5KPeVZppOHjBHilcthFMvK3b882x0YdVMoObcSgXCHxuY31Ty3xfNzCRzuhp-cJdfl7xRHmXwPZwWvTCfHLskV_2XGVw&amp;alternateChannel=search&amp;isJobSearch=false" xr:uid="{00000000-0004-0000-0000-00003B000000}"/>
    <hyperlink ref="I73" r:id="rId61" display="https://www.linkedin.com/jobs/search-results/?currentJobId=4460643431&amp;eBP=CwEAAAGgg51nveDyhohUQfW-YPoK-CXMiGGXlEWwobJJaUSVxc_bdpnXcwGC_Vhn1ossNrOrGMOdJZXPmKUh05-mQWSflP2b9jZ3rdf68JcO2IkvUOjk576Xewq-JP3vLHCaR4792KhJPPeXsx8d-9tFDNYLYT1x-JWWPDbx-nRCskxiBbuuE-sA48OtVeIGjcGsiu_D22y5d0PAn79CzpsfIfMy7wg0w1obu8UEpGxLp1I_NZkUz1AS-xMyN4DxyP-4-MTtOxmThcNSInVXGin577aNsbOgUvecYS-dIL62QsvwYEABSaYzZviGH_ySjzBSJUBPICUTkRUasKKixxosbFsw01l3Mr74tr3w_Y59TEPHMjWqXUhdJWdkIeJJdDJXzrLiG72POHVMsH5KPeVZppOHjBHilcthFMvK3b882x0YdVMoObcSgXCHxuY31Ty3xfNzCRzuhp-cJdfl7xRHmXwPZwWvTCfHLskV_2XGVw&amp;refId=KGaBqmUfqtwbontFfBXpZw%3D%3D&amp;trackingId=F07c%2F5NEu8n5%2BAbDfPRmYA%3D%3D&amp;keywords=freshman%20intern%20software%20engineering&amp;origin=SEMANTIC_SEARCH_LANDING_PAGE" xr:uid="{00000000-0004-0000-0000-00003C000000}"/>
    <hyperlink ref="B74" r:id="rId62" display="https://www.linkedin.com/company/cae/life/" xr:uid="{00000000-0004-0000-0000-00003D000000}"/>
    <hyperlink ref="C74" r:id="rId63" display="https://www.linkedin.com/jobs/view/4462726244/?trackingId=ru7doXtgvbRXSkTaT3ldBg%3D%3D&amp;refId=KGaBqmUfqtwbontFfBXpZw%3D%3D&amp;eBP=CwEAAAGgg51nvSUkNlhSjDiYcNfvv5-d0cbxNXXKDmgoNQMHeKvu4Xd92n0ETLR93YvUCBuh3rHlyoM4SUOmYohCJeKY1M5sKzkAmD1c2cKFLNAMFb9P5mqb1w_zzZAE7xHq701KSHeGC2Qi5tjK085pop6MddPVnE1DbrUapFPaHhAEzaOx2Ieivm9qc_reTXQfsaj0-UHqV8nV4wkd4pVWyplHj5WX5mlAWHeq0ucNF5bxnSTwmQ49PtGpIW9cRF5DFAorU6TEyh6aoFvi6yAmv8dL2_lVEVBVffamCBrHpQz5jd-zznaTy7XkDM7eab6R3b2QAgPPinA0RvgYHMBublXajoylffNEGjDLQr75FMLZuB-sfc-cuWMzMx2NYg8pUS3AEOIrDEL0kQBQZvZyGdsYYID2kqwwQsJBwvjnPjdKNJQWFwmoTkY4PfepxDkE6pOzRDJWPIiiEi-f7BvLUuUlgEOcZIu345pbGJtQDA&amp;alternateChannel=search&amp;isJobSearch=false" xr:uid="{00000000-0004-0000-0000-00003E000000}"/>
    <hyperlink ref="I74" r:id="rId64" display="https://www.linkedin.com/jobs/search-results/?currentJobId=4462726244&amp;eBP=CwEAAAGgg51nvSUkNlhSjDiYcNfvv5-d0cbxNXXKDmgoNQMHeKvu4Xd92n0ETLR93YvUCBuh3rHlyoM4SUOmYohCJeKY1M5sKzkAmD1c2cKFLNAMFb9P5mqb1w_zzZAE7xHq701KSHeGC2Qi5tjK085pop6MddPVnE1DbrUapFPaHhAEzaOx2Ieivm9qc_reTXQfsaj0-UHqV8nV4wkd4pVWyplHj5WX5mlAWHeq0ucNF5bxnSTwmQ49PtGpIW9cRF5DFAorU6TEyh6aoFvi6yAmv8dL2_lVEVBVffamCBrHpQz5jd-zznaTy7XkDM7eab6R3b2QAgPPinA0RvgYHMBublXajoylffNEGjDLQr75FMLZuB-sfc-cuWMzMx2NYg8pUS3AEOIrDEL0kQBQZvZyGdsYYID2kqwwQsJBwvjnPjdKNJQWFwmoTkY4PfepxDkE6pOzRDJWPIiiEi-f7BvLUuUlgEOcZIu345pbGJtQDA&amp;refId=KGaBqmUfqtwbontFfBXpZw%3D%3D&amp;trackingId=ru7doXtgvbRXSkTaT3ldBg%3D%3D&amp;keywords=freshman%20intern%20software%20engineering&amp;origin=SEMANTIC_SEARCH_LANDING_PAGE" xr:uid="{00000000-0004-0000-0000-00003F000000}"/>
    <hyperlink ref="B75" r:id="rId65" display="https://www.linkedin.com/company/giro/life/" xr:uid="{00000000-0004-0000-0000-000040000000}"/>
    <hyperlink ref="C75" r:id="rId66" display="https://www.linkedin.com/jobs/view/4461194798/?trackingId=GkDX0jfrO49Zw%2F3zhxIyuw%3D%3D&amp;refId=KGaBqmUfqtwbontFfBXpZw%3D%3D&amp;eBP=NOT_ELIGIBLE_FOR_CHARGING&amp;alternateChannel=search&amp;isJobSearch=false" xr:uid="{00000000-0004-0000-0000-000041000000}"/>
    <hyperlink ref="I75" r:id="rId67" display="https://www.linkedin.com/jobs/search-results/?currentJobId=4461194798&amp;eBP=NOT_ELIGIBLE_FOR_CHARGING&amp;refId=KGaBqmUfqtwbontFfBXpZw%3D%3D&amp;trackingId=GkDX0jfrO49Zw%2F3zhxIyuw%3D%3D&amp;keywords=freshman%20intern%20software%20engineering&amp;origin=SEMANTIC_SEARCH_LANDING_PAGE" xr:uid="{00000000-0004-0000-0000-000042000000}"/>
    <hyperlink ref="B76" r:id="rId68" display="https://www.linkedin.com/company/ibm/life/" xr:uid="{00000000-0004-0000-0000-000043000000}"/>
    <hyperlink ref="C76" r:id="rId69" display="https://www.linkedin.com/jobs/view/4458029550/?trackingId=UQcuwsH%2FVNW95D4EdtdGiA%3D%3D&amp;refId=c%2Fg0DEk%2BjRgXcGAgk%2FOiSw%3D%3D&amp;eBP=CwEAAAGgg58aZu3EJlCxkSN5hD7FtRl1ksLtwpynTAeU2uq35UfHrZloFZ7Lx-nmNIFHjd7mGo61khR-4N0vErTvNqkK4DpiwQEyreEMjjqyXoY6KwtpPTw69JaFQIxMWQ8Z4AtscSDD-LRLYyXnAr5iYlgTd7Us7tjjYqL1StemEguyCd-eTDYiWYBIOYEwrqz2X1FAOkGcqjkEOapRvOozwfxz-MR_xmW_83kWfDBh1BYR-xgrbZdKvg90nQz7Hj1DY53-d-dDBAwMdK9xNUsWa3-beyoWsLHMR1U4_8Apj13UUyebA_3RY2yhXtuwdrrvfZ0AxcdoWgM7LOcsPFMEnvwBkrga4IIfQOgJ6ibM5Uc2B3o6GTjkHDzwN-3fdoruqTUZXKaDCzrheG456DFWWXpBasXDcqXrzM-JkTfELnFtt21wd8id4BSXrB3hHBd8AZZ9-ti3kkcH3ucuK3ZfdtIfli8-t1w8KY4xG9NV_FRvn-o&amp;alternateChannel=search&amp;isJobSearch=false" xr:uid="{00000000-0004-0000-0000-000044000000}"/>
    <hyperlink ref="I76" r:id="rId70" display="https://www.linkedin.com/jobs/search-results/?currentJobId=4458029550&amp;eBP=CwEAAAGgg58aZu3EJlCxkSN5hD7FtRl1ksLtwpynTAeU2uq35UfHrZloFZ7Lx-nmNIFHjd7mGo61khR-4N0vErTvNqkK4DpiwQEyreEMjjqyXoY6KwtpPTw69JaFQIxMWQ8Z4AtscSDD-LRLYyXnAr5iYlgTd7Us7tjjYqL1StemEguyCd-eTDYiWYBIOYEwrqz2X1FAOkGcqjkEOapRvOozwfxz-MR_xmW_83kWfDBh1BYR-xgrbZdKvg90nQz7Hj1DY53-d-dDBAwMdK9xNUsWa3-beyoWsLHMR1U4_8Apj13UUyebA_3RY2yhXtuwdrrvfZ0AxcdoWgM7LOcsPFMEnvwBkrga4IIfQOgJ6ibM5Uc2B3o6GTjkHDzwN-3fdoruqTUZXKaDCzrheG456DFWWXpBasXDcqXrzM-JkTfELnFtt21wd8id4BSXrB3hHBd8AZZ9-ti3kkcH3ucuK3ZfdtIfli8-t1w8KY4xG9NV_FRvn-o&amp;refId=c%2Fg0DEk%2BjRgXcGAgk%2FOiSw%3D%3D&amp;trackingId=UQcuwsH%2FVNW95D4EdtdGiA%3D%3D&amp;keywords=freshman%20intern%20software%20engineering&amp;origin=SEMANTIC_SEARCH_LANDING_PAGE&amp;start=25" xr:uid="{00000000-0004-0000-0000-000045000000}"/>
    <hyperlink ref="B77" r:id="rId71" display="https://www.linkedin.com/company/bell-flight/life/" xr:uid="{00000000-0004-0000-0000-000046000000}"/>
    <hyperlink ref="C77" r:id="rId72" display="https://www.linkedin.com/jobs/view/4429382631/?trackingId=qr1x8G1tKCZ9apLIMUHYRA%3D%3D&amp;refId=c%2Fg0DEk%2BjRgXcGAgk%2FOiSw%3D%3D&amp;eBP=NOT_ELIGIBLE_FOR_CHARGING&amp;alternateChannel=search&amp;isJobSearch=false" xr:uid="{00000000-0004-0000-0000-000047000000}"/>
    <hyperlink ref="I77" r:id="rId73" display="https://www.linkedin.com/jobs/search-results/?currentJobId=4429382631&amp;eBP=NOT_ELIGIBLE_FOR_CHARGING&amp;refId=c%2Fg0DEk%2BjRgXcGAgk%2FOiSw%3D%3D&amp;trackingId=qr1x8G1tKCZ9apLIMUHYRA%3D%3D&amp;keywords=freshman%20intern%20software%20engineering&amp;origin=SEMANTIC_SEARCH_LANDING_PAGE&amp;start=25" xr:uid="{00000000-0004-0000-0000-000048000000}"/>
    <hyperlink ref="B78" r:id="rId74" display="https://www.linkedin.com/company/intact/life/" xr:uid="{00000000-0004-0000-0000-000049000000}"/>
    <hyperlink ref="C78" r:id="rId75" display="https://www.linkedin.com/jobs/view/4463531417/?trackingId=sq9nmTglWnrmUWHi9zvYug%3D%3D&amp;refId=c%2Fg0DEk%2BjRgXcGAgk%2FOiSw%3D%3D&amp;eBP=CwEAAAGgg58aZlkymv2lC4yVg1g8arWsrZEegFHokqN3LQXY0TQTXwmEVM1FKPbfst582uclP-rSBOGbDZnHDh7FB_dghZyMSNLGeH_n97sUBRPUGmsTKoosIpklBxK9eoaf0xKSqACBirOoUy9NWy52Xs4WNIeKph6JNOdOuuU1v8qzPPULPPSt6YtqcdqnA6BLGBhMKKIDsNCG6b8k-XRfNO4ZZGkwHq3YBAN7T2Q_0xD-moRMXl9jtbKAHepxEosDTN5qgAq2SHvOxtDn0c00nTGpHUUMxH4wGBrNTXJWGbS9F0-dKM4XA59iqEXZTVgdBpW0nTeVNPpuqBCfn90_hExQEcRnd8tBQeHMfYRMd5NjmrZDhQvXUrUU-R2WNKe1R2I8chEFA1HQFzTIdiCIKfQ-y6FCje3iE9IwJRSO7i418uWra00EjfDuIJwJGquMjcYtHu2fQ8HSWyBwpinfbdld1zXC2bCmdlMaiNBirAPompY&amp;alternateChannel=search&amp;isJobSearch=false" xr:uid="{00000000-0004-0000-0000-00004A000000}"/>
    <hyperlink ref="I78" r:id="rId76" display="https://www.linkedin.com/jobs/search-results/?currentJobId=4463531417&amp;eBP=CwEAAAGgg58aZlkymv2lC4yVg1g8arWsrZEegFHokqN3LQXY0TQTXwmEVM1FKPbfst582uclP-rSBOGbDZnHDh7FB_dghZyMSNLGeH_n97sUBRPUGmsTKoosIpklBxK9eoaf0xKSqACBirOoUy9NWy52Xs4WNIeKph6JNOdOuuU1v8qzPPULPPSt6YtqcdqnA6BLGBhMKKIDsNCG6b8k-XRfNO4ZZGkwHq3YBAN7T2Q_0xD-moRMXl9jtbKAHepxEosDTN5qgAq2SHvOxtDn0c00nTGpHUUMxH4wGBrNTXJWGbS9F0-dKM4XA59iqEXZTVgdBpW0nTeVNPpuqBCfn90_hExQEcRnd8tBQeHMfYRMd5NjmrZDhQvXUrUU-R2WNKe1R2I8chEFA1HQFzTIdiCIKfQ-y6FCje3iE9IwJRSO7i418uWra00EjfDuIJwJGquMjcYtHu2fQ8HSWyBwpinfbdld1zXC2bCmdlMaiNBirAPompY&amp;refId=c%2Fg0DEk%2BjRgXcGAgk%2FOiSw%3D%3D&amp;trackingId=sq9nmTglWnrmUWHi9zvYug%3D%3D&amp;keywords=freshman%20intern%20software%20engineering&amp;origin=SEMANTIC_SEARCH_LANDING_PAGE&amp;start=25" xr:uid="{00000000-0004-0000-0000-00004B000000}"/>
    <hyperlink ref="B79" r:id="rId77" display="https://www.linkedin.com/company/intact/life/" xr:uid="{00000000-0004-0000-0000-00004C000000}"/>
    <hyperlink ref="C79" r:id="rId78" display="https://www.linkedin.com/jobs/view/4463524795/?trackingId=AD1RgszIlWBckl%2FGHYd2QQ%3D%3D&amp;refId=c%2Fg0DEk%2BjRgXcGAgk%2FOiSw%3D%3D&amp;eBP=CwEAAAGgg58aZtv6F_bmbTHruI9CT_ePoDgh8FWujprt_edQv0EJw1YFBRWNECvfSQGjvIOHwRVa7l5ZSqb1Lh9p8KyW_mLRb5C0ulfwD9NKY1rP4A8YXoOdh5pf5zHs1CpV_jJrAwg7kMkGuU9NmBmIMeL8aCS3XeVML_hUI8fvUXvMWFjKvWmfiUVHVb9cc_UgoHoaDlOJzRi85CfB1tEqCKSsqO0BCH5p0qz7oimbAvv2vtPc1ZnNirDxZvfYCbYAEL0iI3cPfEzvhp-W2NI6Sn9OtAoeq2AlnDD27Ge8yjc1EiTCLwzSe3gZMq34r3puv3ANQnCm1dLbhcwCpOUz3Fc00RtTdGHZHlH7qVLIOZMl1XNY-jCxFYm9ilD9T-TRQutUZqR6SQ-EQbX04HW3wLz7f_HNrNaY1pnId_IzBg_bPs32Csy8c73oH0WffcnqtMl22OP-oAnE7dqWMUlgBBoYdkRYdfxCA3QVt5p6hYDzKJfk5g&amp;alternateChannel=search&amp;isJobSearch=false" xr:uid="{00000000-0004-0000-0000-00004D000000}"/>
    <hyperlink ref="I79" r:id="rId79" display="https://www.linkedin.com/jobs/search-results/?currentJobId=4463524795&amp;eBP=CwEAAAGgg58aZtv6F_bmbTHruI9CT_ePoDgh8FWujprt_edQv0EJw1YFBRWNECvfSQGjvIOHwRVa7l5ZSqb1Lh9p8KyW_mLRb5C0ulfwD9NKY1rP4A8YXoOdh5pf5zHs1CpV_jJrAwg7kMkGuU9NmBmIMeL8aCS3XeVML_hUI8fvUXvMWFjKvWmfiUVHVb9cc_UgoHoaDlOJzRi85CfB1tEqCKSsqO0BCH5p0qz7oimbAvv2vtPc1ZnNirDxZvfYCbYAEL0iI3cPfEzvhp-W2NI6Sn9OtAoeq2AlnDD27Ge8yjc1EiTCLwzSe3gZMq34r3puv3ANQnCm1dLbhcwCpOUz3Fc00RtTdGHZHlH7qVLIOZMl1XNY-jCxFYm9ilD9T-TRQutUZqR6SQ-EQbX04HW3wLz7f_HNrNaY1pnId_IzBg_bPs32Csy8c73oH0WffcnqtMl22OP-oAnE7dqWMUlgBBoYdkRYdfxCA3QVt5p6hYDzKJfk5g&amp;refId=c%2Fg0DEk%2BjRgXcGAgk%2FOiSw%3D%3D&amp;trackingId=AD1RgszIlWBckl%2FGHYd2QQ%3D%3D&amp;keywords=freshman%20intern%20software%20engineering&amp;origin=SEMANTIC_SEARCH_LANDING_PAGE&amp;start=25" xr:uid="{00000000-0004-0000-0000-00004E000000}"/>
    <hyperlink ref="B80" r:id="rId80" display="https://www.linkedin.com/company/pratt-&amp;-whitney/life/" xr:uid="{00000000-0004-0000-0000-00004F000000}"/>
    <hyperlink ref="C80" r:id="rId81" display="https://www.linkedin.com/jobs/view/4462052957/?trackingId=EyPhPbswg3VLEuls07KxLQ%3D%3D&amp;refId=c%2Fg0DEk%2BjRgXcGAgk%2FOiSw%3D%3D&amp;eBP=CwEAAAGgg58aZ0eecsPisj8xASUleoeZgHqK5nvUCksxeFxRFQYuDMvCArAMreYxSEbuV8ismpCMktewBAM1Bjm1SUYfbV7RxjljypHKFVhoGM2WpCDeUl8R3IqD9Ms5gEp-9u4jHhjajC-2QUnpybIPGtc-6TMESPi1EeijNlrYzYSOwcZG0Ep5qBUKC4_iu_AHrIDIYWG-anwu0z07ngeswF8KWqLEOOTrasCfLXpbJb8gkEI-qeY16kOZCv512lxE-uFcaxJOidML3-K5IJ_wgFM_6hbXCmrKQnE5XcbJPRCZywq73Z-uknlHUQQMUgigPIHUD_RK56eZpmt7lIUx5sRFXpvH94tE9k09ke4-IsHrxIAq4U9dhGr7UzXC1rPjEAQxupKusLPQaYXX3J0ip0TlTx3IjkRZTEHOhzYDV7VO2ccoGDfGoqYrsQIp4vS2d_AH0GHmV-dwPKA3acNqLLhawQE7xASidhfBukWyI4B-&amp;alternateChannel=search&amp;isJobSearch=false" xr:uid="{00000000-0004-0000-0000-000050000000}"/>
    <hyperlink ref="I80" r:id="rId82" display="https://www.linkedin.com/jobs/search-results/?currentJobId=4462052957&amp;eBP=CwEAAAGgg58aZ0eecsPisj8xASUleoeZgHqK5nvUCksxeFxRFQYuDMvCArAMreYxSEbuV8ismpCMktewBAM1Bjm1SUYfbV7RxjljypHKFVhoGM2WpCDeUl8R3IqD9Ms5gEp-9u4jHhjajC-2QUnpybIPGtc-6TMESPi1EeijNlrYzYSOwcZG0Ep5qBUKC4_iu_AHrIDIYWG-anwu0z07ngeswF8KWqLEOOTrasCfLXpbJb8gkEI-qeY16kOZCv512lxE-uFcaxJOidML3-K5IJ_wgFM_6hbXCmrKQnE5XcbJPRCZywq73Z-uknlHUQQMUgigPIHUD_RK56eZpmt7lIUx5sRFXpvH94tE9k09ke4-IsHrxIAq4U9dhGr7UzXC1rPjEAQxupKusLPQaYXX3J0ip0TlTx3IjkRZTEHOhzYDV7VO2ccoGDfGoqYrsQIp4vS2d_AH0GHmV-dwPKA3acNqLLhawQE7xASidhfBukWyI4B-&amp;refId=c%2Fg0DEk%2BjRgXcGAgk%2FOiSw%3D%3D&amp;trackingId=EyPhPbswg3VLEuls07KxLQ%3D%3D&amp;keywords=freshman%20intern%20software%20engineering&amp;origin=SEMANTIC_SEARCH_LANDING_PAGE&amp;start=25" xr:uid="{00000000-0004-0000-0000-000051000000}"/>
    <hyperlink ref="B81" r:id="rId83" display="https://www.linkedin.com/company/flexspring/life/" xr:uid="{00000000-0004-0000-0000-000052000000}"/>
    <hyperlink ref="C81" r:id="rId84" display="https://www.linkedin.com/jobs/view/4460647361/?trackingId=28Ki964UF7o%2BiQKuLUJouQ%3D%3D&amp;refId=c%2Fg0DEk%2BjRgXcGAgk%2FOiSw%3D%3D&amp;eBP=NOT_ELIGIBLE_FOR_CHARGING&amp;alternateChannel=search&amp;isJobSearch=false" xr:uid="{00000000-0004-0000-0000-000053000000}"/>
    <hyperlink ref="I81" r:id="rId85" display="https://www.linkedin.com/jobs/search-results/?currentJobId=4460647361&amp;eBP=NOT_ELIGIBLE_FOR_CHARGING&amp;refId=c%2Fg0DEk%2BjRgXcGAgk%2FOiSw%3D%3D&amp;trackingId=28Ki964UF7o%2BiQKuLUJouQ%3D%3D&amp;keywords=freshman%20intern%20software%20engineering&amp;origin=SEMANTIC_SEARCH_LANDING_PAGE&amp;start=25" xr:uid="{00000000-0004-0000-0000-000054000000}"/>
    <hyperlink ref="B82" r:id="rId86" display="https://www.linkedin.com/company/hme/life/" xr:uid="{00000000-0004-0000-0000-000055000000}"/>
    <hyperlink ref="C82" r:id="rId87" display="https://www.linkedin.com/jobs/view/4464906044/?trackingId=WPBYtfEa%2FMj5gMX9kpJ4bg%3D%3D&amp;refId=c%2Fg0DEk%2BjRgXcGAgk%2FOiSw%3D%3D&amp;eBP=NOT_ELIGIBLE_FOR_CHARGING&amp;alternateChannel=search&amp;isJobSearch=false" xr:uid="{00000000-0004-0000-0000-000056000000}"/>
    <hyperlink ref="I82" r:id="rId88" display="https://www.linkedin.com/jobs/search-results/?currentJobId=4464906044&amp;eBP=NOT_ELIGIBLE_FOR_CHARGING&amp;refId=c%2Fg0DEk%2BjRgXcGAgk%2FOiSw%3D%3D&amp;trackingId=WPBYtfEa%2FMj5gMX9kpJ4bg%3D%3D&amp;keywords=freshman%20intern%20software%20engineering&amp;origin=SEMANTIC_SEARCH_LANDING_PAGE&amp;start=25" xr:uid="{00000000-0004-0000-0000-000057000000}"/>
    <hyperlink ref="B83" r:id="rId89" display="https://www.linkedin.com/company/huawei-technologies-canada-co-ltd/life/" xr:uid="{00000000-0004-0000-0000-000058000000}"/>
    <hyperlink ref="C83" r:id="rId90" display="https://www.linkedin.com/jobs/view/4220492098/?trackingId=4XuMVWhpnqlLtrXnMQvohA%3D%3D&amp;refId=0yvpgDSnmqqwfJ%2FA7hfqmw%3D%3D&amp;eBP=NOT_ELIGIBLE_FOR_CHARGING&amp;alternateChannel=search&amp;isJobSearch=false" xr:uid="{00000000-0004-0000-0000-000059000000}"/>
    <hyperlink ref="I83" r:id="rId91" display="https://www.linkedin.com/jobs/search-results/?currentJobId=4220492098&amp;eBP=NOT_ELIGIBLE_FOR_CHARGING&amp;refId=0yvpgDSnmqqwfJ%2FA7hfqmw%3D%3D&amp;trackingId=4XuMVWhpnqlLtrXnMQvohA%3D%3D&amp;keywords=freshman%20intern%20software%20engineering&amp;origin=SEMANTIC_SEARCH_LANDING_PAGE&amp;start=50" xr:uid="{00000000-0004-0000-0000-00005A000000}"/>
    <hyperlink ref="B84" r:id="rId92" display="https://www.linkedin.com/company/huawei-technologies-canada-co-ltd/life/" xr:uid="{00000000-0004-0000-0000-00005B000000}"/>
    <hyperlink ref="C84" r:id="rId93" display="https://www.linkedin.com/jobs/view/4219374115/?trackingId=ftOzXMcBbLOwuFTalaxX%2BA%3D%3D&amp;refId=0yvpgDSnmqqwfJ%2FA7hfqmw%3D%3D&amp;eBP=NOT_ELIGIBLE_FOR_CHARGING&amp;alternateChannel=search&amp;isJobSearch=false" xr:uid="{00000000-0004-0000-0000-00005C000000}"/>
    <hyperlink ref="I84" r:id="rId94" display="https://www.linkedin.com/jobs/search-results/?currentJobId=4219374115&amp;eBP=NOT_ELIGIBLE_FOR_CHARGING&amp;refId=0yvpgDSnmqqwfJ%2FA7hfqmw%3D%3D&amp;trackingId=ftOzXMcBbLOwuFTalaxX%2BA%3D%3D&amp;keywords=freshman%20intern%20software%20engineering&amp;origin=SEMANTIC_SEARCH_LANDING_PAGE&amp;start=50" xr:uid="{00000000-0004-0000-0000-00005D000000}"/>
    <hyperlink ref="B85" r:id="rId95" display="https://www.linkedin.com/company/drw/life/" xr:uid="{00000000-0004-0000-0000-00005E000000}"/>
    <hyperlink ref="C85" r:id="rId96" display="https://www.linkedin.com/jobs/view/4437615263/?trackingId=sI26U4CQstpUfkHJVkol1A%3D%3D&amp;refId=0yvpgDSnmqqwfJ%2FA7hfqmw%3D%3D&amp;eBP=CwEAAAGgg6BhFkCttodv2pPYKSZFfgL33tZC5E6SO-cy-z6pSJMiLb8DgX9yJ5PvEbnYYzSUwZ3pC0rPghew5XGKF2jCovASbuKQ8a9LKJRbLCgSy7e548zMxxQDVaXtUWLtmXmzFwBEgm9qvjbWkvI93yV2RIAoH-wB3ib86atC_VMVb407dDs5YA7A6WBw_rCuvxO4BeLjjHGbNMUeUC7AFgyU9PszGFXZB3-QsEe1E4PEL_9sRuh5A-6JJwcBRQv1mYNQqIqdTWH8N_URi0DQqbBPox9VXKbUceSjwEqFd6hCRI-EHTLXYFt9ksew73EvxaMd8010PthwlVHAmIv8N8qhuCb9gArYCkfL-WGv--Yt0UhdPwawDOrpJPVal4ZTWliN_Mnt1wcyytuGmyQFW1KRiK3420TzAzB0Vm4GcFojcw4wzFcubOIJZLiiVvkjDsucZJ3jJmGASK0om3Ymz8Tcs9DcMIGxCts3L6o&amp;alternateChannel=search&amp;isJobSearch=false" xr:uid="{00000000-0004-0000-0000-00005F000000}"/>
    <hyperlink ref="I85" r:id="rId97" display="https://www.linkedin.com/jobs/search-results/?currentJobId=4437615263&amp;eBP=CwEAAAGgg6BhFkCttodv2pPYKSZFfgL33tZC5E6SO-cy-z6pSJMiLb8DgX9yJ5PvEbnYYzSUwZ3pC0rPghew5XGKF2jCovASbuKQ8a9LKJRbLCgSy7e548zMxxQDVaXtUWLtmXmzFwBEgm9qvjbWkvI93yV2RIAoH-wB3ib86atC_VMVb407dDs5YA7A6WBw_rCuvxO4BeLjjHGbNMUeUC7AFgyU9PszGFXZB3-QsEe1E4PEL_9sRuh5A-6JJwcBRQv1mYNQqIqdTWH8N_URi0DQqbBPox9VXKbUceSjwEqFd6hCRI-EHTLXYFt9ksew73EvxaMd8010PthwlVHAmIv8N8qhuCb9gArYCkfL-WGv--Yt0UhdPwawDOrpJPVal4ZTWliN_Mnt1wcyytuGmyQFW1KRiK3420TzAzB0Vm4GcFojcw4wzFcubOIJZLiiVvkjDsucZJ3jJmGASK0om3Ymz8Tcs9DcMIGxCts3L6o&amp;refId=0yvpgDSnmqqwfJ%2FA7hfqmw%3D%3D&amp;trackingId=sI26U4CQstpUfkHJVkol1A%3D%3D&amp;keywords=freshman%20intern%20software%20engineering&amp;origin=SEMANTIC_SEARCH_LANDING_PAGE&amp;start=50" xr:uid="{00000000-0004-0000-0000-000060000000}"/>
    <hyperlink ref="B86" r:id="rId98" display="https://www.linkedin.com/company/alayacare-inc/life/" xr:uid="{00000000-0004-0000-0000-000061000000}"/>
    <hyperlink ref="C86" r:id="rId99" display="https://www.linkedin.com/jobs/view/4443620979/?trackingId=fVNaqisFu8nGVPKehYB2%2Bg%3D%3D&amp;refId=0yvpgDSnmqqwfJ%2FA7hfqmw%3D%3D&amp;eBP=CwEAAAGgg6BhFnGctDC4bWZDgpwPAznvoPv9ydqNael9qHjdqso65Mkug4R1FXsRo1m9pcGTKtH9pVhPid_u8LGacvgKh9FMFzmSbcC5n5eyKWxy2WacHcWdYBI3ogJKLKdeyZoPSo5kAPyJkMwFm8KyZYa0eB5nioy6kXmQ5vx94icPGGN3zDsQN-IcdL2pcEr1c-gxB_PX4aesdVHIBgmmFCbER8OtgOeL7l0D73BfvUGOUKTuytpdM3PBk24oE5_BMlZzKuqRDo26HKpsfdr-Oq3_pZdVEa0_lEhDa0YJee6DEzK4dcfFK8UORZR6ffjxzSN2GzL3ufX5n2f8SZ7BUjU3fpXN_2SECgv5jEvovPbJIEp7g-CCdHtH348maWZOxvXsyKbmqLN7IJn2vXE2Sz7zJxnuDNQBZvNFohkI-ErTcY7qrKJ4fuv8P5_b1qFofj3ZjtNS8I7tlRmT4_OFS0LoYlyM9iKWl4MZ2iyfWPkL&amp;alternateChannel=search&amp;isJobSearch=false" xr:uid="{00000000-0004-0000-0000-000062000000}"/>
    <hyperlink ref="I86" r:id="rId100" display="https://www.linkedin.com/jobs/search-results/?currentJobId=4443620979&amp;eBP=CwEAAAGgg6BhFnGctDC4bWZDgpwPAznvoPv9ydqNael9qHjdqso65Mkug4R1FXsRo1m9pcGTKtH9pVhPid_u8LGacvgKh9FMFzmSbcC5n5eyKWxy2WacHcWdYBI3ogJKLKdeyZoPSo5kAPyJkMwFm8KyZYa0eB5nioy6kXmQ5vx94icPGGN3zDsQN-IcdL2pcEr1c-gxB_PX4aesdVHIBgmmFCbER8OtgOeL7l0D73BfvUGOUKTuytpdM3PBk24oE5_BMlZzKuqRDo26HKpsfdr-Oq3_pZdVEa0_lEhDa0YJee6DEzK4dcfFK8UORZR6ffjxzSN2GzL3ufX5n2f8SZ7BUjU3fpXN_2SECgv5jEvovPbJIEp7g-CCdHtH348maWZOxvXsyKbmqLN7IJn2vXE2Sz7zJxnuDNQBZvNFohkI-ErTcY7qrKJ4fuv8P5_b1qFofj3ZjtNS8I7tlRmT4_OFS0LoYlyM9iKWl4MZ2iyfWPkL&amp;refId=0yvpgDSnmqqwfJ%2FA7hfqmw%3D%3D&amp;trackingId=fVNaqisFu8nGVPKehYB2%2Bg%3D%3D&amp;keywords=freshman%20intern%20software%20engineering&amp;origin=SEMANTIC_SEARCH_LANDING_PAGE&amp;start=50" xr:uid="{00000000-0004-0000-0000-000063000000}"/>
    <hyperlink ref="C87" r:id="rId101" display="https://www.linkedin.com/jobs/view/4450344703/?trackingId=FYAoAdBgWs2rBdcyCA7lrw%3D%3D&amp;refId=0yvpgDSnmqqwfJ%2FA7hfqmw%3D%3D&amp;eBP=CwEAAAGgg6BhFg_-bL05Pr5fOQPJdyjyzqp5BQr3MbwPn-1NL06v5MNi2OcWiQQdTpStbXklMUJISKkpuaLeQQY-B9Wr2hv10x5-z4Q7H27y_cjQeo6Ks3R-N9cbRCZHFoHGMY3m80YHO_eOebXoxDrZfX4XEcw7ur6cMMKaLMoqV8ZbagR48Tsu-hrSsb2_JWm41ga1rwQrkzgC3vaZzLUtqhlXz2SeF0AArq3kaSDdODCjHFFJ2VpiUk7Ct6mKLKPyFQRlMDwWEjpO0rhkEI_lLmMCR3FdQw_jvis962t4JnDlDtzL6LhNG7fL5UVZ0vpn-rqVDJ1xsystkxc4pliZQZ-kSMR0ucpqFvj4XWwyvL6IB3jXYkQ9FVm64vTEntB_sVVWMK7f84GkeCkpxVW_m_mc9wUhA1O03tpfmTHDnWBCj1cCdGWfbQZVwJjCJ7CjwpcEqd0jW_iZbo-RBiDzUV4yB9ZyeHtY_8dyjpk&amp;alternateChannel=search&amp;isJobSearch=false" xr:uid="{00000000-0004-0000-0000-000064000000}"/>
    <hyperlink ref="I87" r:id="rId102" display="https://www.linkedin.com/jobs/search-results/?currentJobId=4450344703&amp;eBP=CwEAAAGgg6BhFg_-bL05Pr5fOQPJdyjyzqp5BQr3MbwPn-1NL06v5MNi2OcWiQQdTpStbXklMUJISKkpuaLeQQY-B9Wr2hv10x5-z4Q7H27y_cjQeo6Ks3R-N9cbRCZHFoHGMY3m80YHO_eOebXoxDrZfX4XEcw7ur6cMMKaLMoqV8ZbagR48Tsu-hrSsb2_JWm41ga1rwQrkzgC3vaZzLUtqhlXz2SeF0AArq3kaSDdODCjHFFJ2VpiUk7Ct6mKLKPyFQRlMDwWEjpO0rhkEI_lLmMCR3FdQw_jvis962t4JnDlDtzL6LhNG7fL5UVZ0vpn-rqVDJ1xsystkxc4pliZQZ-kSMR0ucpqFvj4XWwyvL6IB3jXYkQ9FVm64vTEntB_sVVWMK7f84GkeCkpxVW_m_mc9wUhA1O03tpfmTHDnWBCj1cCdGWfbQZVwJjCJ7CjwpcEqd0jW_iZbo-RBiDzUV4yB9ZyeHtY_8dyjpk&amp;refId=0yvpgDSnmqqwfJ%2FA7hfqmw%3D%3D&amp;trackingId=FYAoAdBgWs2rBdcyCA7lrw%3D%3D&amp;keywords=freshman%20intern%20software%20engineering&amp;origin=SEMANTIC_SEARCH_LANDING_PAGE&amp;start=50" xr:uid="{00000000-0004-0000-0000-000065000000}"/>
    <hyperlink ref="B88" r:id="rId103" display="https://www.linkedin.com/company/yelp-com/life/" xr:uid="{00000000-0004-0000-0000-000066000000}"/>
    <hyperlink ref="C88" r:id="rId104" display="https://www.linkedin.com/jobs/view/4458281140/?trackingId=Zqft91QGzzcZ%2FH6M1QcEGg%3D%3D&amp;refId=H6o4pxawrkb3Pa15PnEvqg%3D%3D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alternateChannel=search&amp;isJobSearch=false" xr:uid="{00000000-0004-0000-0000-000067000000}"/>
    <hyperlink ref="I88" r:id="rId105" display="https://www.linkedin.com/jobs/search-results/?currentJobId=4458281140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refId=H6o4pxawrkb3Pa15PnEvqg%3D%3D&amp;trackingId=Zqft91QGzzcZ%2FH6M1QcEGg%3D%3D&amp;keywords=freshman%20intern%20software%20engineering&amp;origin=SEMANTIC_SEARCH_LANDING_PAGE&amp;start=75" xr:uid="{00000000-0004-0000-0000-000068000000}"/>
    <hyperlink ref="B89" r:id="rId106" display="https://www.linkedin.com/company/yelp-com/life/" xr:uid="{00000000-0004-0000-0000-000069000000}"/>
    <hyperlink ref="C89" r:id="rId107" display="https://www.linkedin.com/jobs/view/4458281140/?trackingId=Zqft91QGzzcZ%2FH6M1QcEGg%3D%3D&amp;refId=H6o4pxawrkb3Pa15PnEvqg%3D%3D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alternateChannel=search&amp;isJobSearch=false" xr:uid="{00000000-0004-0000-0000-00006A000000}"/>
    <hyperlink ref="I89" r:id="rId108" display="https://www.linkedin.com/jobs/search-results/?currentJobId=4458281140&amp;eBP=CwEAAAGgg6Eplgfg97NI7CogqQN7pIhT70ikZzvhwiysT-oUZdPYw0WlSwGS3lwu5Euy5sJuvt5CzjcMeHkaIRDbwGGuUEWaMR4qCHeD-RxTLjsJOpEeRgOoT_nIftJj9xzcpIP3LHAIX3kfXvqVQ3F2N9HKgnXaB2fKfVxeMZ07uqdPoNf6eSJjpY5yJ6CEldRHuRpbFGs1wkv7aeCLOdt3otIWW79s19s3MkJAxQycCqIBAkSaTdQkqlVvrf3iPzeET5gF0fj2SmBgii_-oH94AE7mycDY3sb9Q_Ds2yn9YzvYkaaX4u9UvbDCRoupz-iDCV_xV9kbqW5OaNCaQ7sEKOxwQaHdE0CY02hxGkM0Gu_bjF7ysm9NJyxcT8HY5DpKZTWtNMOnpvvsfu6NlHHBIJwZ4WMJj_jcJuGTaekKNfaiNsBb3MHiiQOwK1XgZvu_h0riwgQkkB43btb09ubVOgzVd_Mpi80tSfinYD2tqShG&amp;refId=H6o4pxawrkb3Pa15PnEvqg%3D%3D&amp;trackingId=Zqft91QGzzcZ%2FH6M1QcEGg%3D%3D&amp;keywords=freshman%20intern%20software%20engineering&amp;origin=SEMANTIC_SEARCH_LANDING_PAGE&amp;start=75" xr:uid="{00000000-0004-0000-0000-00006B000000}"/>
    <hyperlink ref="B90" r:id="rId109" display="https://www.linkedin.com/company/deloitte/life/" xr:uid="{00000000-0004-0000-0000-00006C000000}"/>
    <hyperlink ref="C90" r:id="rId110" display="https://www.linkedin.com/jobs/view/4460652432/?trackingId=W8srJD4%2FPKZm6edTrsbQrA%3D%3D&amp;refId=H6o4pxawrkb3Pa15PnEvqg%3D%3D&amp;eBP=CwEAAAGgg6Eplvosre7XAg90uoHNzvyyafnYLXQpE7j89Tcgt9GDUJFwlUURhNjAE7wKroj2pvvmp4-ZkKoi0nuxY35Av8zqGRel22LblPJ6aiiY-7alIFXzy_VewX9-gDc0AufOhcVOLhFrK2rVWvGdzJrVA_yg5owq1e_LscZa7waVieV7teRQrymYcDfuFWnKZaH_ZCxSITT8STkfFvNnlm6b3Z02fUH4FhiwP9zA3gt6lav9VwXgMUYzDEQOKzGdKtpXAeT1-Fcd_iviOpDrYgofm9c3Na2X2TGMRuEbzEApXDdxZS9MwY-XanVACgUFBq1MFPt_oxEL0ZLD0jA6ppwwpNNS4r60rwwBCjqwu6PQAYTdpcjjJMKEvvpBhtEYF982Thvy15IvzMmy4WdM1INgqL8cmcEePk0POr32lCJY_KW_aEGLVKjI6eWduO1gXXpGvp7tv6yF2ugiWedpjOykyjwbxIqp6XIXT2c&amp;alternateChannel=search&amp;isJobSearch=false" xr:uid="{00000000-0004-0000-0000-00006D000000}"/>
    <hyperlink ref="I90" r:id="rId111" display="https://www.linkedin.com/jobs/search-results/?currentJobId=4460652432&amp;eBP=CwEAAAGgg6Eplvosre7XAg90uoHNzvyyafnYLXQpE7j89Tcgt9GDUJFwlUURhNjAE7wKroj2pvvmp4-ZkKoi0nuxY35Av8zqGRel22LblPJ6aiiY-7alIFXzy_VewX9-gDc0AufOhcVOLhFrK2rVWvGdzJrVA_yg5owq1e_LscZa7waVieV7teRQrymYcDfuFWnKZaH_ZCxSITT8STkfFvNnlm6b3Z02fUH4FhiwP9zA3gt6lav9VwXgMUYzDEQOKzGdKtpXAeT1-Fcd_iviOpDrYgofm9c3Na2X2TGMRuEbzEApXDdxZS9MwY-XanVACgUFBq1MFPt_oxEL0ZLD0jA6ppwwpNNS4r60rwwBCjqwu6PQAYTdpcjjJMKEvvpBhtEYF982Thvy15IvzMmy4WdM1INgqL8cmcEePk0POr32lCJY_KW_aEGLVKjI6eWduO1gXXpGvp7tv6yF2ugiWedpjOykyjwbxIqp6XIXT2c&amp;refId=H6o4pxawrkb3Pa15PnEvqg%3D%3D&amp;trackingId=W8srJD4%2FPKZm6edTrsbQrA%3D%3D&amp;keywords=freshman%20intern%20software%20engineering&amp;origin=SEMANTIC_SEARCH_LANDING_PAGE&amp;start=75" xr:uid="{00000000-0004-0000-0000-00006E000000}"/>
    <hyperlink ref="B91" r:id="rId112" display="https://www.linkedin.com/company/zed-digital/life/" xr:uid="{00000000-0004-0000-0000-00006F000000}"/>
    <hyperlink ref="C91" r:id="rId113" display="https://www.linkedin.com/jobs/view/4319888047/?trackingId=Wb0zGULuHMuOt7mRasDK1Q%3D%3D&amp;refId=H6o4pxawrkb3Pa15PnEvqg%3D%3D&amp;eBP=NOT_ELIGIBLE_FOR_CHARGING&amp;alternateChannel=search&amp;isJobSearch=false" xr:uid="{00000000-0004-0000-0000-000070000000}"/>
    <hyperlink ref="I91" r:id="rId114" display="https://www.linkedin.com/jobs/search-results/?currentJobId=4319888047&amp;eBP=NOT_ELIGIBLE_FOR_CHARGING&amp;refId=H6o4pxawrkb3Pa15PnEvqg%3D%3D&amp;trackingId=Wb0zGULuHMuOt7mRasDK1Q%3D%3D&amp;keywords=freshman%20intern%20software%20engineering&amp;origin=SEMANTIC_SEARCH_LANDING_PAGE&amp;start=75" xr:uid="{00000000-0004-0000-0000-000071000000}"/>
    <hyperlink ref="I92" r:id="rId115" display="https://giro.wd10.myworkdayjobs.com/en-US/GIRO/details/Hiver-2027---Stagiaire-en-dveloppement-web--Front-end_R-100000317" xr:uid="{00000000-0004-0000-0000-000072000000}"/>
    <hyperlink ref="I93" r:id="rId116" display="https://giro.wd10.myworkdayjobs.com/en-US/GIRO/details/Hiver-2027---Stagiaire-en-dveloppement-logiciel--Algorithmes-et-recherche-oprationnelle-_R-100000314" xr:uid="{00000000-0004-0000-0000-000073000000}"/>
    <hyperlink ref="I94" r:id="rId117" display="https://giro.wd10.myworkdayjobs.com/en-US/GIRO/details/Hiver-2027---Stagiaire-en-dveloppement-logiciel_R-100000312" xr:uid="{00000000-0004-0000-0000-000074000000}"/>
    <hyperlink ref="I95" r:id="rId118" display="https://flare.bamboohr.com/careers/29" xr:uid="{00000000-0004-0000-0000-000075000000}"/>
    <hyperlink ref="I99" r:id="rId119" xr:uid="{00000000-0004-0000-0000-000076000000}"/>
    <hyperlink ref="I102" r:id="rId120" xr:uid="{00000000-0004-0000-0000-000077000000}"/>
    <hyperlink ref="I108" r:id="rId121" xr:uid="{00000000-0004-0000-0000-000078000000}"/>
    <hyperlink ref="I110" r:id="rId122" display="https://www.huwiz.com/careers/" xr:uid="{00000000-0004-0000-0000-000079000000}"/>
    <hyperlink ref="I111" r:id="rId123" display="https://www.epicgames.com/site/careers/jobs/6183293004" xr:uid="{00000000-0004-0000-0000-00007A000000}"/>
    <hyperlink ref="I112" r:id="rId124" display="https://www.epicgames.com/site/careers/jobs/6147283004" xr:uid="{00000000-0004-0000-0000-00007B000000}"/>
    <hyperlink ref="I113" r:id="rId125" display="https://www.epicgames.com/site/careers/jobs/6173862004" xr:uid="{00000000-0004-0000-0000-00007C000000}"/>
    <hyperlink ref="I114" r:id="rId126" display="https://www.epicgames.com/site/careers/jobs/6141180004" xr:uid="{00000000-0004-0000-0000-00007D000000}"/>
    <hyperlink ref="I115" r:id="rId127" display="https://www.epicgames.com/site/careers/jobs/6152263004" xr:uid="{00000000-0004-0000-0000-00007E000000}"/>
    <hyperlink ref="I116" r:id="rId128" display="https://www.epicgames.com/site/careers/jobs/6138134004" xr:uid="{00000000-0004-0000-0000-00007F000000}"/>
    <hyperlink ref="I117" r:id="rId129" display="https://www.epicgames.com/site/careers/jobs/6138140004" xr:uid="{00000000-0004-0000-0000-000080000000}"/>
    <hyperlink ref="I118" r:id="rId130" display="https://www.epicgames.com/site/careers/jobs/6138142004" xr:uid="{00000000-0004-0000-0000-000081000000}"/>
    <hyperlink ref="I119" r:id="rId131" display="https://www.epicgames.com/site/careers/jobs/6147167004" xr:uid="{00000000-0004-0000-0000-000082000000}"/>
    <hyperlink ref="I120" r:id="rId132" display="https://www.epicgames.com/site/careers/jobs/6183401004" xr:uid="{00000000-0004-0000-0000-000083000000}"/>
    <hyperlink ref="I121" r:id="rId133" display="https://www.epicgames.com/site/careers/jobs/6174265004" xr:uid="{00000000-0004-0000-0000-000084000000}"/>
    <hyperlink ref="I122" r:id="rId134" display="https://www.epicgames.com/site/careers/jobs/6163851004" xr:uid="{00000000-0004-0000-0000-000085000000}"/>
    <hyperlink ref="I123" r:id="rId135" display="https://morganstanley.tal.net/vx/candidate/so/pm/1/pl/1/opp/20936" xr:uid="{00000000-0004-0000-0000-000086000000}"/>
    <hyperlink ref="I124" r:id="rId136" display="https://morganstanley.tal.net/vx/candidate/so/pm/1/pl/1/opp/20948" xr:uid="{00000000-0004-0000-0000-000087000000}"/>
    <hyperlink ref="I125" r:id="rId137" display="https://morganstanley.tal.net/vx/candidate/so/pm/1/pl/1/opp/20943" xr:uid="{00000000-0004-0000-0000-000088000000}"/>
    <hyperlink ref="I126" r:id="rId138" display="https://morganstanley.tal.net/vx/candidate/so/pm/1/pl/1/opp/20949" xr:uid="{00000000-0004-0000-0000-000089000000}"/>
    <hyperlink ref="I127" r:id="rId139" display="https://careers.ibm.com/fr_CA/careers/JobDetail?jobId=130076&amp;source=WEB_Search_NA" xr:uid="{00000000-0004-0000-0000-00008A000000}"/>
    <hyperlink ref="I128" r:id="rId140" display="https://careers.ibm.com/fr_CA/careers/JobDetail?jobId=130073&amp;source=WEB_Search_NA" xr:uid="{00000000-0004-0000-0000-00008B000000}"/>
    <hyperlink ref="I129" r:id="rId141" display="https://careers.ibm.com/fr_CA/careers/JobDetail?jobId=130141&amp;source=WEB_Search_NA" xr:uid="{00000000-0004-0000-0000-00008C000000}"/>
    <hyperlink ref="C130" r:id="rId142" display="https://careers.ibm.com/fr_CA/careers/JobDetail?jobId=131307&amp;source=WEB_Search_NA" xr:uid="{00000000-0004-0000-0000-00008D000000}"/>
    <hyperlink ref="I130" r:id="rId143" display="https://careers.ibm.com/fr_CA/careers/JobDetail?jobId=131307&amp;source=WEB_Search_NA" xr:uid="{00000000-0004-0000-0000-00008E000000}"/>
    <hyperlink ref="C131" r:id="rId144" display="https://careers.ibm.com/fr_CA/careers/JobDetail?jobId=130144&amp;source=WEB_Search_NA" xr:uid="{00000000-0004-0000-0000-00008F000000}"/>
    <hyperlink ref="I131" r:id="rId145" display="https://careers.ibm.com/fr_CA/careers/JobDetail?jobId=130144&amp;source=WEB_Search_NA" xr:uid="{00000000-0004-0000-0000-000090000000}"/>
    <hyperlink ref="C132" r:id="rId146" display="https://careers.ibm.com/fr_CA/careers/JobDetail?jobId=128506&amp;source=WEB_Search_NA" xr:uid="{00000000-0004-0000-0000-000091000000}"/>
    <hyperlink ref="I132" r:id="rId147" display="https://careers.ibm.com/fr_CA/careers/JobDetail?jobId=128506&amp;source=WEB_Search_NA" xr:uid="{00000000-0004-0000-0000-000092000000}"/>
    <hyperlink ref="C133" r:id="rId148" display="https://careers.ibm.com/fr_CA/careers/JobDetail?jobId=129787&amp;source=WEB_Search_NA" xr:uid="{00000000-0004-0000-0000-000093000000}"/>
    <hyperlink ref="I133" r:id="rId149" display="https://careers.ibm.com/fr_CA/careers/JobDetail?jobId=129787&amp;source=WEB_Search_NA" xr:uid="{00000000-0004-0000-0000-000094000000}"/>
    <hyperlink ref="C134" r:id="rId150" display="https://careers.ibm.com/fr_CA/careers/JobDetail?jobId=128497&amp;source=WEB_Search_NA" xr:uid="{00000000-0004-0000-0000-000095000000}"/>
    <hyperlink ref="I134" r:id="rId151" display="https://careers.ibm.com/fr_CA/careers/JobDetail?jobId=128497&amp;source=WEB_Search_NA" xr:uid="{00000000-0004-0000-0000-000096000000}"/>
    <hyperlink ref="C135" r:id="rId152" display="https://careers.ibm.com/fr_CA/careers/JobDetail?jobId=129661&amp;source=WEB_Search_NA" xr:uid="{00000000-0004-0000-0000-000097000000}"/>
    <hyperlink ref="I135" r:id="rId153" display="https://careers.ibm.com/fr_CA/careers/JobDetail?jobId=129661&amp;source=WEB_Search_NA" xr:uid="{00000000-0004-0000-0000-000098000000}"/>
    <hyperlink ref="C136" r:id="rId154" display="https://careers.ibm.com/fr_CA/careers/JobDetail?jobId=128513&amp;source=WEB_Search_NA" xr:uid="{00000000-0004-0000-0000-000099000000}"/>
    <hyperlink ref="I136" r:id="rId155" display="https://careers.ibm.com/fr_CA/careers/JobDetail?jobId=128513&amp;source=WEB_Search_NA" xr:uid="{00000000-0004-0000-0000-00009A000000}"/>
    <hyperlink ref="C137" r:id="rId156" display="https://careers.ibm.com/fr_CA/careers/JobDetail?jobId=129910&amp;source=WEB_Search_NA" xr:uid="{00000000-0004-0000-0000-00009B000000}"/>
    <hyperlink ref="I137" r:id="rId157" display="https://careers.ibm.com/fr_CA/careers/JobDetail?jobId=129910&amp;source=WEB_Search_NA" xr:uid="{00000000-0004-0000-0000-00009C000000}"/>
    <hyperlink ref="C138" r:id="rId158" display="https://careers.ibm.com/fr_CA/careers/JobDetail?jobId=129778&amp;source=WEB_Search_NA" xr:uid="{00000000-0004-0000-0000-00009D000000}"/>
    <hyperlink ref="I138" r:id="rId159" display="https://careers.ibm.com/fr_CA/careers/JobDetail?jobId=129778&amp;source=WEB_Search_NA" xr:uid="{00000000-0004-0000-0000-00009E000000}"/>
    <hyperlink ref="C139" r:id="rId160" display="https://careers.ibm.com/fr_CA/careers/JobDetail?jobId=130346&amp;source=WEB_Search_NA" xr:uid="{00000000-0004-0000-0000-00009F000000}"/>
    <hyperlink ref="I139" r:id="rId161" display="https://careers.ibm.com/fr_CA/careers/JobDetail?jobId=130346&amp;source=WEB_Search_NA" xr:uid="{00000000-0004-0000-0000-0000A0000000}"/>
    <hyperlink ref="C140" r:id="rId162" display="https://careers.ibm.com/fr_CA/careers/JobDetail?jobId=132407&amp;source=WEB_Search_NA" xr:uid="{00000000-0004-0000-0000-0000A1000000}"/>
    <hyperlink ref="I140" r:id="rId163" display="https://careers.ibm.com/fr_CA/careers/JobDetail?jobId=132407&amp;source=WEB_Search_NA" xr:uid="{00000000-0004-0000-0000-0000A2000000}"/>
    <hyperlink ref="C141" r:id="rId164" display="https://careers.ibm.com/fr_CA/careers/JobDetail?jobId=128716&amp;source=WEB_Search_NA" xr:uid="{00000000-0004-0000-0000-0000A3000000}"/>
    <hyperlink ref="I141" r:id="rId165" display="https://careers.ibm.com/fr_CA/careers/JobDetail?jobId=128716&amp;source=WEB_Search_NA" xr:uid="{00000000-0004-0000-0000-0000A4000000}"/>
    <hyperlink ref="C142" r:id="rId166" display="https://careers.ibm.com/fr_CA/careers/JobDetail?jobId=129783&amp;source=WEB_Search_NA" xr:uid="{00000000-0004-0000-0000-0000A5000000}"/>
    <hyperlink ref="I142" r:id="rId167" display="https://careers.ibm.com/fr_CA/careers/JobDetail?jobId=129783&amp;source=WEB_Search_NA" xr:uid="{00000000-0004-0000-0000-0000A6000000}"/>
    <hyperlink ref="C143" r:id="rId168" display="https://careers.ibm.com/fr_CA/careers/JobDetail?jobId=130115&amp;source=WEB_Search_NA" xr:uid="{00000000-0004-0000-0000-0000A7000000}"/>
    <hyperlink ref="I143" r:id="rId169" display="https://careers.ibm.com/fr_CA/careers/JobDetail?jobId=130115&amp;source=WEB_Search_NA" xr:uid="{00000000-0004-0000-0000-0000A8000000}"/>
    <hyperlink ref="C144" r:id="rId170" display="https://careers.ibm.com/fr_CA/careers/JobDetail?jobId=130716&amp;source=WEB_Search_NA" xr:uid="{00000000-0004-0000-0000-0000A9000000}"/>
    <hyperlink ref="I144" r:id="rId171" display="https://careers.ibm.com/fr_CA/careers/JobDetail?jobId=130716&amp;source=WEB_Search_NA" xr:uid="{00000000-0004-0000-0000-0000AA000000}"/>
    <hyperlink ref="C145" r:id="rId172" display="https://careers.ibm.com/fr_CA/careers/JobDetail?jobId=130067&amp;source=WEB_Search_NA" xr:uid="{00000000-0004-0000-0000-0000AB000000}"/>
    <hyperlink ref="I145" r:id="rId173" display="https://careers.ibm.com/fr_CA/careers/JobDetail?jobId=130067&amp;source=WEB_Search_NA" xr:uid="{00000000-0004-0000-0000-0000AC000000}"/>
    <hyperlink ref="C146" r:id="rId174" display="https://careers.ibm.com/fr_CA/careers/JobDetail?jobId=128562&amp;source=WEB_Search_NA" xr:uid="{00000000-0004-0000-0000-0000AD000000}"/>
    <hyperlink ref="I146" r:id="rId175" display="https://careers.ibm.com/fr_CA/careers/JobDetail?jobId=128562&amp;source=WEB_Search_NA" xr:uid="{00000000-0004-0000-0000-0000AE000000}"/>
    <hyperlink ref="C147" r:id="rId176" display="https://careers.ibm.com/fr_CA/careers/JobDetail?jobId=130142&amp;source=WEB_Search_NA" xr:uid="{00000000-0004-0000-0000-0000AF000000}"/>
    <hyperlink ref="I147" r:id="rId177" display="https://careers.ibm.com/fr_CA/careers/JobDetail?jobId=130142&amp;source=WEB_Search_NA" xr:uid="{00000000-0004-0000-0000-0000B0000000}"/>
    <hyperlink ref="C148" r:id="rId178" display="https://careers.ibm.com/fr_CA/careers/JobDetail?jobId=130113&amp;source=WEB_Search_NA" xr:uid="{00000000-0004-0000-0000-0000B1000000}"/>
    <hyperlink ref="I148" r:id="rId179" display="https://careers.ibm.com/fr_CA/careers/JobDetail?jobId=130113&amp;source=WEB_Search_NA" xr:uid="{00000000-0004-0000-0000-0000B2000000}"/>
    <hyperlink ref="C149" r:id="rId180" display="https://careers.ibm.com/fr_CA/careers/JobDetail?jobId=128827&amp;source=WEB_Search_NA" xr:uid="{00000000-0004-0000-0000-0000B3000000}"/>
    <hyperlink ref="I149" r:id="rId181" display="https://careers.ibm.com/fr_CA/careers/JobDetail?jobId=128827&amp;source=WEB_Search_NA" xr:uid="{00000000-0004-0000-0000-0000B4000000}"/>
    <hyperlink ref="C150" r:id="rId182" display="https://careers.ibm.com/fr_CA/careers/JobDetail?jobId=128772&amp;source=WEB_Search_NA" xr:uid="{00000000-0004-0000-0000-0000B5000000}"/>
    <hyperlink ref="I150" r:id="rId183" display="https://careers.ibm.com/fr_CA/careers/JobDetail?jobId=128772&amp;source=WEB_Search_NA" xr:uid="{00000000-0004-0000-0000-0000B6000000}"/>
    <hyperlink ref="C151" r:id="rId184" display="https://careers.ibm.com/fr_CA/careers/JobDetail?jobId=131828&amp;source=WEB_Search_NA" xr:uid="{00000000-0004-0000-0000-0000B7000000}"/>
    <hyperlink ref="I151" r:id="rId185" display="https://careers.ibm.com/fr_CA/careers/JobDetail?jobId=131828&amp;source=WEB_Search_NA" xr:uid="{00000000-0004-0000-0000-0000B8000000}"/>
    <hyperlink ref="C152" r:id="rId186" display="https://careers.ibm.com/fr_CA/careers/JobDetail?jobId=129637&amp;source=WEB_Search_NA" xr:uid="{00000000-0004-0000-0000-0000B9000000}"/>
    <hyperlink ref="I152" r:id="rId187" display="https://careers.ibm.com/fr_CA/careers/JobDetail?jobId=129637&amp;source=WEB_Search_NA" xr:uid="{00000000-0004-0000-0000-0000BA000000}"/>
    <hyperlink ref="C153" r:id="rId188" display="https://careers.ibm.com/fr_CA/careers/JobDetail?jobId=131081&amp;source=WEB_Search_NA" xr:uid="{00000000-0004-0000-0000-0000BB000000}"/>
    <hyperlink ref="I153" r:id="rId189" display="https://careers.ibm.com/fr_CA/careers/JobDetail?jobId=131081&amp;source=WEB_Search_NA" xr:uid="{00000000-0004-0000-0000-0000BC000000}"/>
    <hyperlink ref="C154" r:id="rId190" display="https://careers.ibm.com/fr_CA/careers/JobDetail?jobId=128790&amp;source=WEB_Search_NA" xr:uid="{00000000-0004-0000-0000-0000BD000000}"/>
    <hyperlink ref="I154" r:id="rId191" display="https://careers.ibm.com/fr_CA/careers/JobDetail?jobId=128790&amp;source=WEB_Search_NA" xr:uid="{00000000-0004-0000-0000-0000BE000000}"/>
    <hyperlink ref="C155" r:id="rId192" display="https://careers.ibm.com/fr_CA/careers/JobDetail?jobId=128922&amp;source=WEB_Search_NA" xr:uid="{00000000-0004-0000-0000-0000BF000000}"/>
    <hyperlink ref="I155" r:id="rId193" display="https://careers.ibm.com/fr_CA/careers/JobDetail?jobId=128922&amp;source=WEB_Search_NA" xr:uid="{00000000-0004-0000-0000-0000C0000000}"/>
    <hyperlink ref="C156" r:id="rId194" display="https://careers.ibm.com/fr_CA/careers/JobDetail?jobId=128792&amp;source=WEB_Search_NA" xr:uid="{00000000-0004-0000-0000-0000C1000000}"/>
    <hyperlink ref="I156" r:id="rId195" display="https://careers.ibm.com/fr_CA/careers/JobDetail?jobId=128792&amp;source=WEB_Search_NA" xr:uid="{00000000-0004-0000-0000-0000C2000000}"/>
    <hyperlink ref="C157" r:id="rId196" display="https://careers.ibm.com/fr_CA/careers/JobDetail?jobId=129628&amp;source=WEB_Search_NA" xr:uid="{00000000-0004-0000-0000-0000C3000000}"/>
    <hyperlink ref="I157" r:id="rId197" display="https://careers.ibm.com/fr_CA/careers/JobDetail?jobId=129628&amp;source=WEB_Search_NA" xr:uid="{00000000-0004-0000-0000-0000C4000000}"/>
    <hyperlink ref="C158" r:id="rId198" display="https://careers.ibm.com/fr_CA/careers/JobDetail?jobId=129781&amp;source=WEB_Search_NA" xr:uid="{00000000-0004-0000-0000-0000C5000000}"/>
    <hyperlink ref="I158" r:id="rId199" display="https://careers.ibm.com/fr_CA/careers/JobDetail?jobId=129781&amp;source=WEB_Search_NA" xr:uid="{00000000-0004-0000-0000-0000C6000000}"/>
    <hyperlink ref="C159" r:id="rId200" display="https://careers.ibm.com/fr_CA/careers/JobDetail?jobId=128797&amp;source=WEB_Search_NA" xr:uid="{00000000-0004-0000-0000-0000C7000000}"/>
    <hyperlink ref="I159" r:id="rId201" display="https://careers.ibm.com/fr_CA/careers/JobDetail?jobId=128797&amp;source=WEB_Search_NA" xr:uid="{00000000-0004-0000-0000-0000C8000000}"/>
    <hyperlink ref="C160" r:id="rId202" display="https://careers.ibm.com/fr_CA/careers/JobDetail?jobId=128824&amp;source=WEB_Search_NA" xr:uid="{00000000-0004-0000-0000-0000C9000000}"/>
    <hyperlink ref="I160" r:id="rId203" display="https://careers.ibm.com/fr_CA/careers/JobDetail?jobId=128824&amp;source=WEB_Search_NA" xr:uid="{00000000-0004-0000-0000-0000CA000000}"/>
    <hyperlink ref="C161" r:id="rId204" display="https://careers.ibm.com/fr_CA/careers/JobDetail?jobId=128620&amp;source=WEB_Search_NA" xr:uid="{00000000-0004-0000-0000-0000CB000000}"/>
    <hyperlink ref="I161" r:id="rId205" display="https://careers.ibm.com/fr_CA/careers/JobDetail?jobId=128620&amp;source=WEB_Search_NA" xr:uid="{00000000-0004-0000-0000-0000CC000000}"/>
    <hyperlink ref="C162" r:id="rId206" display="https://careers.ibm.com/fr_CA/careers/JobDetail?jobId=128823&amp;source=WEB_Search_NA" xr:uid="{00000000-0004-0000-0000-0000CD000000}"/>
    <hyperlink ref="I162" r:id="rId207" display="https://careers.ibm.com/fr_CA/careers/JobDetail?jobId=128823&amp;source=WEB_Search_NA" xr:uid="{00000000-0004-0000-0000-0000CE000000}"/>
    <hyperlink ref="C163" r:id="rId208" display="https://careers.ibm.com/fr_CA/careers/JobDetail?jobId=130043&amp;source=WEB_Search_NA" xr:uid="{00000000-0004-0000-0000-0000CF000000}"/>
    <hyperlink ref="I163" r:id="rId209" display="https://careers.ibm.com/fr_CA/careers/JobDetail?jobId=130043&amp;source=WEB_Search_NA" xr:uid="{00000000-0004-0000-0000-0000D0000000}"/>
    <hyperlink ref="C164" r:id="rId210" display="https://careers.ibm.com/fr_CA/careers/JobDetail?jobId=128818&amp;source=WEB_Search_NA" xr:uid="{00000000-0004-0000-0000-0000D1000000}"/>
    <hyperlink ref="I164" r:id="rId211" display="https://careers.ibm.com/fr_CA/careers/JobDetail?jobId=128818&amp;source=WEB_Search_NA" xr:uid="{00000000-0004-0000-0000-0000D2000000}"/>
    <hyperlink ref="C165" r:id="rId212" display="https://careers.ibm.com/fr_CA/careers/JobDetail?jobId=128709&amp;source=WEB_Search_NA" xr:uid="{00000000-0004-0000-0000-0000D3000000}"/>
    <hyperlink ref="I165" r:id="rId213" display="https://careers.ibm.com/fr_CA/careers/JobDetail?jobId=128709&amp;source=WEB_Search_NA" xr:uid="{00000000-0004-0000-0000-0000D4000000}"/>
    <hyperlink ref="C166" r:id="rId214" display="https://careers.ibm.com/fr_CA/careers/JobDetail?jobId=128779&amp;source=WEB_Search_NA" xr:uid="{00000000-0004-0000-0000-0000D5000000}"/>
    <hyperlink ref="I166" r:id="rId215" display="https://careers.ibm.com/fr_CA/careers/JobDetail?jobId=128779&amp;source=WEB_Search_NA" xr:uid="{00000000-0004-0000-0000-0000D6000000}"/>
    <hyperlink ref="C167" r:id="rId216" display="https://careers.ibm.com/fr_CA/careers/JobDetail?jobId=128807&amp;source=WEB_Search_NA" xr:uid="{00000000-0004-0000-0000-0000D7000000}"/>
    <hyperlink ref="I167" r:id="rId217" display="https://careers.ibm.com/fr_CA/careers/JobDetail?jobId=128807&amp;source=WEB_Search_NA" xr:uid="{00000000-0004-0000-0000-0000D8000000}"/>
    <hyperlink ref="C168" r:id="rId218" display="https://careers.ibm.com/fr_CA/careers/JobDetail?jobId=130116&amp;source=WEB_Search_NA" xr:uid="{00000000-0004-0000-0000-0000D9000000}"/>
    <hyperlink ref="I168" r:id="rId219" display="https://careers.ibm.com/fr_CA/careers/JobDetail?jobId=130116&amp;source=WEB_Search_NA" xr:uid="{00000000-0004-0000-0000-0000DA000000}"/>
    <hyperlink ref="C169" r:id="rId220" display="https://careers.ibm.com/fr_CA/careers/JobDetail?jobId=128742&amp;source=WEB_Search_NA" xr:uid="{00000000-0004-0000-0000-0000DB000000}"/>
    <hyperlink ref="I169" r:id="rId221" display="https://careers.ibm.com/fr_CA/careers/JobDetail?jobId=128742&amp;source=WEB_Search_NA" xr:uid="{00000000-0004-0000-0000-0000DC000000}"/>
    <hyperlink ref="C170" r:id="rId222" display="https://careers.ibm.com/fr_CA/careers/JobDetail?jobId=127714&amp;source=WEB_Search_NA" xr:uid="{00000000-0004-0000-0000-0000DD000000}"/>
    <hyperlink ref="I170" r:id="rId223" display="https://careers.ibm.com/fr_CA/careers/JobDetail?jobId=127714&amp;source=WEB_Search_NA" xr:uid="{00000000-0004-0000-0000-0000DE000000}"/>
    <hyperlink ref="C171" r:id="rId224" display="https://careers.ibm.com/fr_CA/careers/JobDetail?jobId=128775&amp;source=WEB_Search_NA" xr:uid="{00000000-0004-0000-0000-0000DF000000}"/>
    <hyperlink ref="I171" r:id="rId225" display="https://careers.ibm.com/fr_CA/careers/JobDetail?jobId=128775&amp;source=WEB_Search_NA" xr:uid="{00000000-0004-0000-0000-0000E0000000}"/>
    <hyperlink ref="C172" r:id="rId226" display="https://careers.ibm.com/fr_CA/careers/JobDetail?jobId=128527&amp;source=WEB_Search_NA" xr:uid="{00000000-0004-0000-0000-0000E1000000}"/>
    <hyperlink ref="I172" r:id="rId227" display="https://careers.ibm.com/fr_CA/careers/JobDetail?jobId=128527&amp;source=WEB_Search_NA" xr:uid="{00000000-0004-0000-0000-0000E2000000}"/>
    <hyperlink ref="C173" r:id="rId228" display="https://careers.ibm.com/fr_CA/careers/JobDetail?jobId=130103&amp;source=WEB_Search_NA" xr:uid="{00000000-0004-0000-0000-0000E3000000}"/>
    <hyperlink ref="I173" r:id="rId229" display="https://careers.ibm.com/fr_CA/careers/JobDetail?jobId=130103&amp;source=WEB_Search_NA" xr:uid="{00000000-0004-0000-0000-0000E4000000}"/>
    <hyperlink ref="C174" r:id="rId230" display="https://careers.ibm.com/fr_CA/careers/JobDetail?jobId=128825&amp;source=WEB_Search_NA" xr:uid="{00000000-0004-0000-0000-0000E5000000}"/>
    <hyperlink ref="I174" r:id="rId231" display="https://careers.ibm.com/fr_CA/careers/JobDetail?jobId=128825&amp;source=WEB_Search_NA" xr:uid="{00000000-0004-0000-0000-0000E6000000}"/>
    <hyperlink ref="C175" r:id="rId232" display="https://careers.ibm.com/fr_CA/careers/JobDetail?jobId=128810&amp;source=WEB_Search_NA" xr:uid="{00000000-0004-0000-0000-0000E7000000}"/>
    <hyperlink ref="I175" r:id="rId233" display="https://careers.ibm.com/fr_CA/careers/JobDetail?jobId=128810&amp;source=WEB_Search_NA" xr:uid="{00000000-0004-0000-0000-0000E8000000}"/>
    <hyperlink ref="C176" r:id="rId234" display="https://careers.ibm.com/fr_CA/careers/JobDetail?jobId=128527&amp;source=WEB_Search_NA" xr:uid="{00000000-0004-0000-0000-0000E9000000}"/>
    <hyperlink ref="I176" r:id="rId235" display="https://careers.ibm.com/fr_CA/careers/JobDetail?jobId=128527&amp;source=WEB_Search_NA" xr:uid="{00000000-0004-0000-0000-0000EA000000}"/>
    <hyperlink ref="C177" r:id="rId236" display="https://careers.ibm.com/fr_CA/careers/JobDetail?jobId=128815&amp;source=WEB_Search_NA" xr:uid="{00000000-0004-0000-0000-0000EB000000}"/>
    <hyperlink ref="I177" r:id="rId237" display="https://careers.ibm.com/fr_CA/careers/JobDetail?jobId=128815&amp;source=WEB_Search_NA" xr:uid="{00000000-0004-0000-0000-0000EC000000}"/>
    <hyperlink ref="C178" r:id="rId238" display="https://careers.ibm.com/fr_CA/careers/JobDetail?jobId=130113&amp;source=WEB_Search_NA" xr:uid="{00000000-0004-0000-0000-0000ED000000}"/>
    <hyperlink ref="I178" r:id="rId239" display="https://careers.ibm.com/fr_CA/careers/JobDetail?jobId=130113&amp;source=WEB_Search_NA" xr:uid="{00000000-0004-0000-0000-0000EE000000}"/>
    <hyperlink ref="C179" r:id="rId240" display="https://careers.ibm.com/fr_CA/careers/JobDetail?jobId=128827&amp;source=WEB_Search_NA" xr:uid="{00000000-0004-0000-0000-0000EF000000}"/>
    <hyperlink ref="I179" r:id="rId241" display="https://careers.ibm.com/fr_CA/careers/JobDetail?jobId=128827&amp;source=WEB_Search_NA" xr:uid="{00000000-0004-0000-0000-0000F0000000}"/>
    <hyperlink ref="C180" r:id="rId242" display="https://careers.ibm.com/fr_CA/careers/JobDetail?jobId=128772&amp;source=WEB_Search_NA" xr:uid="{00000000-0004-0000-0000-0000F1000000}"/>
    <hyperlink ref="I180" r:id="rId243" display="https://careers.ibm.com/fr_CA/careers/JobDetail?jobId=128772&amp;source=WEB_Search_NA" xr:uid="{00000000-0004-0000-0000-0000F2000000}"/>
    <hyperlink ref="I181" r:id="rId244" display="https://careers.ibm.com/fr_CA/careers/JobDetail?jobId=131828&amp;source=WEB_Search_NA" xr:uid="{00000000-0004-0000-0000-0000F3000000}"/>
    <hyperlink ref="C182" r:id="rId245" display="https://careers.ibm.com/fr_CA/careers/JobDetail?jobId=129637&amp;source=WEB_Search_NA" xr:uid="{00000000-0004-0000-0000-0000F4000000}"/>
    <hyperlink ref="I182" r:id="rId246" display="https://careers.ibm.com/fr_CA/careers/JobDetail?jobId=129637&amp;source=WEB_Search_NA" xr:uid="{00000000-0004-0000-0000-0000F5000000}"/>
    <hyperlink ref="C183" r:id="rId247" display="https://careers.ibm.com/fr_CA/careers/JobDetail?jobId=128823&amp;source=WEB_Search_NA" xr:uid="{00000000-0004-0000-0000-0000F6000000}"/>
    <hyperlink ref="I183" r:id="rId248" display="https://careers.ibm.com/fr_CA/careers/JobDetail?jobId=128823&amp;source=WEB_Search_NA" xr:uid="{00000000-0004-0000-0000-0000F7000000}"/>
    <hyperlink ref="C184" r:id="rId249" display="https://careers.ibm.com/fr_CA/careers/JobDetail?jobId=128792&amp;source=WEB_Search_NA" xr:uid="{00000000-0004-0000-0000-0000F8000000}"/>
    <hyperlink ref="I184" r:id="rId250" display="https://careers.ibm.com/fr_CA/careers/JobDetail?jobId=128792&amp;source=WEB_Search_NA" xr:uid="{00000000-0004-0000-0000-0000F9000000}"/>
    <hyperlink ref="C185" r:id="rId251" display="https://careers.ibm.com/fr_CA/careers/JobDetail?jobId=128818&amp;source=WEB_Search_NA" xr:uid="{00000000-0004-0000-0000-0000FA000000}"/>
    <hyperlink ref="I185" r:id="rId252" display="https://careers.ibm.com/fr_CA/careers/JobDetail?jobId=128818&amp;source=WEB_Search_NA" xr:uid="{00000000-0004-0000-0000-0000FB000000}"/>
    <hyperlink ref="C186" r:id="rId253" display="https://careers.ibm.com/fr_CA/careers/JobDetail?jobId=129628&amp;source=WEB_Search_NA" xr:uid="{00000000-0004-0000-0000-0000FC000000}"/>
    <hyperlink ref="I186" r:id="rId254" display="https://careers.ibm.com/fr_CA/careers/JobDetail?jobId=129628&amp;source=WEB_Search_NA" xr:uid="{00000000-0004-0000-0000-0000FD000000}"/>
    <hyperlink ref="C187" r:id="rId255" display="https://careers.ibm.com/fr_CA/careers/JobDetail?jobId=131081&amp;source=WEB_Search_NA" xr:uid="{00000000-0004-0000-0000-0000FE000000}"/>
    <hyperlink ref="I187" r:id="rId256" display="https://careers.ibm.com/fr_CA/careers/JobDetail?jobId=131081&amp;source=WEB_Search_NA" xr:uid="{00000000-0004-0000-0000-0000FF000000}"/>
    <hyperlink ref="C188" r:id="rId257" display="https://careers.ibm.com/fr_CA/careers/JobDetail?jobId=128790&amp;source=WEB_Search_NA" xr:uid="{00000000-0004-0000-0000-000000010000}"/>
    <hyperlink ref="I188" r:id="rId258" display="https://careers.ibm.com/fr_CA/careers/JobDetail?jobId=128790&amp;source=WEB_Search_NA" xr:uid="{00000000-0004-0000-0000-000001010000}"/>
    <hyperlink ref="C189" r:id="rId259" display="https://careers.ibm.com/fr_CA/careers/JobDetail?jobId=127717&amp;source=WEB_Search_NA" xr:uid="{00000000-0004-0000-0000-000002010000}"/>
    <hyperlink ref="I189" r:id="rId260" display="https://careers.ibm.com/fr_CA/careers/JobDetail?jobId=127717&amp;source=WEB_Search_NA" xr:uid="{00000000-0004-0000-0000-000003010000}"/>
    <hyperlink ref="C190" r:id="rId261" display="https://careers.ibm.com/fr_CA/careers/JobDetail?jobId=128748&amp;source=WEB_Search_NA" xr:uid="{00000000-0004-0000-0000-000004010000}"/>
    <hyperlink ref="I190" r:id="rId262" display="https://careers.ibm.com/fr_CA/careers/JobDetail?jobId=128748&amp;source=WEB_Search_NA" xr:uid="{00000000-0004-0000-0000-000005010000}"/>
    <hyperlink ref="I191" r:id="rId263" display="https://jobs.lever.co/xsolla/1c0e5375-2352-4a2c-a816-48ddebbdd3d6" xr:uid="{00000000-0004-0000-0000-000006010000}"/>
    <hyperlink ref="C192" r:id="rId264" display="https://intactfc.wd3.myworkdayjobs.com/en-US/intactfc/job/Montral-Quebec-CAN/Android-Developer--4-months-Internship-Coop--Winter-2027---_R155691?workerSubType=614baa0178de1001234b4aeefbfe0001" xr:uid="{00000000-0004-0000-0000-000007010000}"/>
    <hyperlink ref="I192" r:id="rId265" display="https://intactfc.wd3.myworkdayjobs.com/en-US/intactfc/job/Montral-Quebec-CAN/Android-Developer--4-months-Internship-Coop--Winter-2027---_R155691?workerSubType=614baa0178de1001234b4aeefbfe0001" xr:uid="{00000000-0004-0000-0000-000008010000}"/>
    <hyperlink ref="C193" r:id="rId266" display="https://intactfc.wd3.myworkdayjobs.com/intactfc/job/St-Johns-Newfoundland-and-Labrador-CAN/Software-Developer-I---4-months-internship--Co-op--Winter-2027-_R155972/apply?source=GoogleAdWordsCampaign&amp;utm_medium=cpc&amp;utm_campaign=IT-DataScience" xr:uid="{00000000-0004-0000-0000-000009010000}"/>
    <hyperlink ref="I193" r:id="rId267" display="https://intactfc.wd3.myworkdayjobs.com/intactfc/job/St-Johns-Newfoundland-and-Labrador-CAN/Software-Developer-I---4-months-internship--Co-op--Winter-2027-_R155972/apply?source=GoogleAdWordsCampaign&amp;utm_medium=cpc&amp;utm_campaign=IT-DataScience" xr:uid="{00000000-0004-0000-0000-00000A010000}"/>
    <hyperlink ref="C194" r:id="rId268" display="https://ats.rippling.com/blue-robotics/jobs/25a883e5-3fa4-459e-9762-5f33a3512cd8" xr:uid="{00000000-0004-0000-0000-00000B010000}"/>
    <hyperlink ref="I194" r:id="rId269" display="https://ats.rippling.com/blue-robotics/jobs/25a883e5-3fa4-459e-9762-5f33a3512cd8" xr:uid="{00000000-0004-0000-0000-00000C010000}"/>
    <hyperlink ref="C196" r:id="rId270" display="https://careerscoopinternen-fgfbrands.icims.com/jobs/26661/product-support-analyst%2c-ai-automation-co-op-%28winter-2027%29/job?mobile=false&amp;width=1209&amp;height=500&amp;bga=true&amp;needsRedirect=false&amp;jan1offset=-300&amp;jun1offset=-240" xr:uid="{00000000-0004-0000-0000-00000D010000}"/>
    <hyperlink ref="I196" r:id="rId271" display="https://careerscoopinternen-fgfbrands.icims.com/jobs/26661/product-support-analyst%2c-ai-automation-co-op-%28winter-2027%29/job?mobile=false&amp;width=1209&amp;height=500&amp;bga=true&amp;needsRedirect=false&amp;jan1offset=-300&amp;jun1offset=-240" xr:uid="{00000000-0004-0000-0000-00000E010000}"/>
    <hyperlink ref="C197" r:id="rId272" display="https://careerscoopinternen-fgfbrands.icims.com/jobs/26839/it-technician-co-op-%28winter-2027%29/job" xr:uid="{00000000-0004-0000-0000-00000F010000}"/>
    <hyperlink ref="I197" r:id="rId273" display="https://careerscoopinternen-fgfbrands.icims.com/jobs/26839/it-technician-co-op-%28winter-2027%29/job" xr:uid="{00000000-0004-0000-0000-000010010000}"/>
    <hyperlink ref="C198" r:id="rId274" display="https://careerscoopinternen-fgfbrands.icims.com/jobs/26847/data-engineer-analytics-and-bi-co-op-%28winter-2027%29/job" xr:uid="{00000000-0004-0000-0000-000011010000}"/>
    <hyperlink ref="I198" r:id="rId275" display="https://careerscoopinternen-fgfbrands.icims.com/jobs/26847/data-engineer-analytics-and-bi-co-op-%28winter-2027%29/job" xr:uid="{00000000-0004-0000-0000-000012010000}"/>
    <hyperlink ref="C199" r:id="rId276" display="https://careerscoopinternen-fgfbrands.icims.com/jobs/26848/ai-solutions-engineer-co-op-%28winter-2027%29/job" xr:uid="{00000000-0004-0000-0000-000013010000}"/>
    <hyperlink ref="I199" r:id="rId277" display="https://careerscoopinternen-fgfbrands.icims.com/jobs/26848/ai-solutions-engineer-co-op-%28winter-2027%29/job" xr:uid="{00000000-0004-0000-0000-000014010000}"/>
    <hyperlink ref="C200" r:id="rId278" display="https://careerscoopinternen-fgfbrands.icims.com/jobs/26841/it-software-qa-automation-co-op-%28winter-2027%29/job" xr:uid="{00000000-0004-0000-0000-000015010000}"/>
    <hyperlink ref="I200" r:id="rId279" display="https://careerscoopinternen-fgfbrands.icims.com/jobs/26841/it-software-qa-automation-co-op-%28winter-2027%29/job" xr:uid="{00000000-0004-0000-0000-000016010000}"/>
    <hyperlink ref="C201" r:id="rId280" display="https://careerscoopinternen-fgfbrands.icims.com/jobs/26843/data-pipeline-engineering-co-op-%28winter-2027%29/job" xr:uid="{00000000-0004-0000-0000-000017010000}"/>
    <hyperlink ref="I201" r:id="rId281" display="https://careerscoopinternen-fgfbrands.icims.com/jobs/26843/data-pipeline-engineering-co-op-%28winter-2027%29/job" xr:uid="{00000000-0004-0000-0000-000018010000}"/>
    <hyperlink ref="C202" r:id="rId282" display="https://myfuture.mcgill.ca/myAccount/opportunities/internshipscoop/postings.htm" xr:uid="{00000000-0004-0000-0000-000019010000}"/>
    <hyperlink ref="I202" r:id="rId283" display="https://myfuture.mcgill.ca/myAccount/opportunities/internshipscoop/postings.htm" xr:uid="{00000000-0004-0000-0000-00001A010000}"/>
    <hyperlink ref="C203" r:id="rId284" display="https://careerscoopinternen-fgfbrands.icims.com/jobs/26930/engineering-technician-intern---process-%28winter-2027%29/job" xr:uid="{00000000-0004-0000-0000-00001B010000}"/>
    <hyperlink ref="I203" r:id="rId285" display="https://careerscoopinternen-fgfbrands.icims.com/jobs/26930/engineering-technician-intern---process-%28winter-2027%29/job" xr:uid="{00000000-0004-0000-0000-00001C010000}"/>
    <hyperlink ref="I205" r:id="rId286" display="https://emploi.hydroquebec.com/content/Stages-et-programmes/?locale=fr_FR" xr:uid="{00000000-0004-0000-0000-00001D010000}"/>
    <hyperlink ref="I206" r:id="rId287" display="https://emploi.hydroquebec.com/content/Stages-et-programmes/?locale=fr_FR" xr:uid="{00000000-0004-0000-0000-00001E010000}"/>
    <hyperlink ref="I207" r:id="rId288" display="https://emploi.hydroquebec.com/content/Stages-et-programmes/?locale=fr_FR" xr:uid="{00000000-0004-0000-0000-00001F010000}"/>
    <hyperlink ref="I208" r:id="rId289" display="https://emploi.hydroquebec.com/content/Stages-et-programmes/?locale=fr_FR" xr:uid="{00000000-0004-0000-0000-000020010000}"/>
    <hyperlink ref="I209" r:id="rId290" display="https://emploi.hydroquebec.com/content/Stages-et-programmes/?locale=fr_FR" xr:uid="{00000000-0004-0000-0000-000021010000}"/>
    <hyperlink ref="I210" r:id="rId291" display="https://emploi.hydroquebec.com/content/Stages-et-programmes/?locale=fr_FR" xr:uid="{00000000-0004-0000-0000-000022010000}"/>
    <hyperlink ref="I211" r:id="rId292" display="https://emploi.hydroquebec.com/content/Stages-et-programmes/?locale=fr_FR" xr:uid="{00000000-0004-0000-0000-000023010000}"/>
    <hyperlink ref="I213" r:id="rId293" display="https://bci.wd10.myworkdayjobs.com/en-US/BCI_Careers/details/AI-and-Automation-Engineer-Co-op-Internship--Winter---Summer-2027-_JR101597-1" xr:uid="{00000000-0004-0000-0000-000024010000}"/>
    <hyperlink ref="I214" r:id="rId294" display="https://bci.wd10.myworkdayjobs.com/en-US/BCI_Careers/details/DevSecOps-Engineer-Co-op-Internship--Winter-2027---Summer-2027-_JR101591" xr:uid="{00000000-0004-0000-0000-000025010000}"/>
    <hyperlink ref="I215" r:id="rId295" display="https://bci.wd10.myworkdayjobs.com/en-US/BCI_Careers/details/Software-Engineer-Co-op-Internship--Winter-2027-_JR101590" xr:uid="{00000000-0004-0000-0000-000026010000}"/>
    <hyperlink ref="I216" r:id="rId296" display="https://bci.wd10.myworkdayjobs.com/en-US/BCI_Careers/details/Platform-Engineer-ServiceNow-Co-op-Internship--Winter-2027---Summer-2027-_JR101585" xr:uid="{00000000-0004-0000-0000-000027010000}"/>
    <hyperlink ref="C219" r:id="rId297" display="https://jobs.smartrecruiters.com/oneclick-ui/company/GDMSI/publication/82f7ee5c-9a64-4866-82e9-2c07454c40a2?dcr_ci=GDMSI&amp;vq_campaign=a40db081-82ea-557f-b2e0-c85200a6e919&amp;vq_source=54851605-81a3-4507-a744-1b28be5be283&amp;igbTracker=962609218&amp;utm_source=mcgilluniversity" xr:uid="{00000000-0004-0000-0000-000028010000}"/>
    <hyperlink ref="I219" r:id="rId298" display="https://jobs.smartrecruiters.com/oneclick-ui/company/GDMSI/publication/82f7ee5c-9a64-4866-82e9-2c07454c40a2?dcr_ci=GDMSI&amp;vq_campaign=a40db081-82ea-557f-b2e0-c85200a6e919&amp;vq_source=54851605-81a3-4507-a744-1b28be5be283&amp;igbTracker=962609218&amp;utm_source=mcgilluniversity" xr:uid="{00000000-0004-0000-0000-000029010000}"/>
    <hyperlink ref="C220" r:id="rId299" display="https://jobs.smartrecruiters.com/oneclick-ui/company/GDMSI/publication/d96baef0-eb51-4d59-9672-0d3258855901?dcr_ci=GDMSI&amp;vq_campaign=4e57d3c5-d139-5f94-b2f5-e08a29adbb6d&amp;vq_source=54851605-81a3-4507-a744-1b28be5be283&amp;igbTracker=962609247&amp;utm_source=mcgilluniversity" xr:uid="{00000000-0004-0000-0000-00002A010000}"/>
    <hyperlink ref="I220" r:id="rId300" display="https://jobs.smartrecruiters.com/oneclick-ui/company/GDMSI/publication/d96baef0-eb51-4d59-9672-0d3258855901?dcr_ci=GDMSI&amp;vq_campaign=4e57d3c5-d139-5f94-b2f5-e08a29adbb6d&amp;vq_source=54851605-81a3-4507-a744-1b28be5be283&amp;igbTracker=962609247&amp;utm_source=mcgilluniversity" xr:uid="{00000000-0004-0000-0000-00002B010000}"/>
    <hyperlink ref="C221" r:id="rId301" display="https://jobs.smartrecruiters.com/oneclick-ui/company/GDMSI/publication/c4644a08-4662-4243-ac62-5964451b0cd5?dcr_ci=GDMSI&amp;vq_campaign=44b4bfbc-a1fa-5e84-b5f0-3ef158d42aaa&amp;vq_source=54851605-81a3-4507-a744-1b28be5be283&amp;igbTracker=962609283&amp;utm_source=mcgilluniversity" xr:uid="{00000000-0004-0000-0000-00002C010000}"/>
    <hyperlink ref="I221" r:id="rId302" display="https://jobs.smartrecruiters.com/oneclick-ui/company/GDMSI/publication/c4644a08-4662-4243-ac62-5964451b0cd5?dcr_ci=GDMSI&amp;vq_campaign=44b4bfbc-a1fa-5e84-b5f0-3ef158d42aaa&amp;vq_source=54851605-81a3-4507-a744-1b28be5be283&amp;igbTracker=962609283&amp;utm_source=mcgilluniversity" xr:uid="{00000000-0004-0000-0000-00002D010000}"/>
    <hyperlink ref="C222" r:id="rId303" display="https://jobs.smartrecruiters.com/oneclick-ui/company/GDMSI/publication/3fe14582-9540-4c5e-ba34-4a5921be3008?dcr_ci=GDMSI&amp;vq_campaign=27c98fab-cf4b-566b-8cf9-0eb8746c1c08&amp;vq_source=54851605-81a3-4507-a744-1b28be5be283&amp;igbTracker=962609312&amp;utm_source=mcgilluniversity" xr:uid="{00000000-0004-0000-0000-00002E010000}"/>
    <hyperlink ref="I222" r:id="rId304" display="https://jobs.smartrecruiters.com/oneclick-ui/company/GDMSI/publication/3fe14582-9540-4c5e-ba34-4a5921be3008?dcr_ci=GDMSI&amp;vq_campaign=27c98fab-cf4b-566b-8cf9-0eb8746c1c08&amp;vq_source=54851605-81a3-4507-a744-1b28be5be283&amp;igbTracker=962609312&amp;utm_source=mcgilluniversity" xr:uid="{00000000-0004-0000-0000-00002F010000}"/>
    <hyperlink ref="C223" r:id="rId305" display="https://jobs.smartrecruiters.com/oneclick-ui/company/GDMSI/publication/65095ce0-833d-42f0-92dd-b03b04bb449b?dcr_ci=GDMSI&amp;vq_campaign=20a5c038-8166-5daf-bdf7-b57c496afd7a&amp;vq_source=54851605-81a3-4507-a744-1b28be5be283&amp;igbTracker=962609346&amp;utm_source=mcgilluniversity" xr:uid="{00000000-0004-0000-0000-000030010000}"/>
    <hyperlink ref="I223" r:id="rId306" display="https://jobs.smartrecruiters.com/oneclick-ui/company/GDMSI/publication/65095ce0-833d-42f0-92dd-b03b04bb449b?dcr_ci=GDMSI&amp;vq_campaign=20a5c038-8166-5daf-bdf7-b57c496afd7a&amp;vq_source=54851605-81a3-4507-a744-1b28be5be283&amp;igbTracker=962609346&amp;utm_source=mcgilluniversity" xr:uid="{00000000-0004-0000-0000-000031010000}"/>
    <hyperlink ref="C224" r:id="rId307" display="https://jobs.smartrecruiters.com/oneclick-ui/company/GDMSI/publication/8b87786e-2a72-4469-aba9-bd3a491abb5a?dcr_ci=GDMSI&amp;vq_campaign=faa8277b-d921-542a-a92d-4a65366f9ddc&amp;vq_source=54851605-81a3-4507-a744-1b28be5be283&amp;igbTracker=962609396&amp;utm_source=mcgilluniversity" xr:uid="{00000000-0004-0000-0000-000032010000}"/>
    <hyperlink ref="I224" r:id="rId308" display="https://jobs.smartrecruiters.com/oneclick-ui/company/GDMSI/publication/8b87786e-2a72-4469-aba9-bd3a491abb5a?dcr_ci=GDMSI&amp;vq_campaign=faa8277b-d921-542a-a92d-4a65366f9ddc&amp;vq_source=54851605-81a3-4507-a744-1b28be5be283&amp;igbTracker=962609396&amp;utm_source=mcgilluniversity" xr:uid="{00000000-0004-0000-0000-000033010000}"/>
    <hyperlink ref="I225" r:id="rId309" display="https://intelcomgroup.wd3.myworkdayjobs.com/en-US/Intelcom/job/Software-Development-Intern---Warehouse-Productivity_JR111578-1" xr:uid="{00000000-0004-0000-0000-000034010000}"/>
    <hyperlink ref="I226" r:id="rId310" display="https://intelcomgroup.wd3.myworkdayjobs.com/en-US/Intelcom/job/Software-Development-Intern---Address-Intelligence-Platform_JR111611" xr:uid="{00000000-0004-0000-0000-000035010000}"/>
    <hyperlink ref="I227" r:id="rId311" display="https://intelcomgroup.wd3.myworkdayjobs.com/en-US/Intelcom/job/Full-Stack-Developer-Intern---Route-Optimization_JR111570-1" xr:uid="{00000000-0004-0000-0000-000036010000}"/>
    <hyperlink ref="I228" r:id="rId312" display="https://intelcomgroup.wd3.myworkdayjobs.com/en-US/Intelcom/job/Software-Developer-in-Test-Intern_JR111565" xr:uid="{00000000-0004-0000-0000-000037010000}"/>
    <hyperlink ref="I229" r:id="rId313" display="https://intelcomgroup.wd3.myworkdayjobs.com/en-US/Intelcom/job/Site-Reliability-Engineering--SRE--Intern_JR111560" xr:uid="{00000000-0004-0000-0000-000038010000}"/>
    <hyperlink ref="I230" r:id="rId314" display="https://intelcomgroup.wd3.myworkdayjobs.com/en-US/Intelcom/job/DevOps-Intern_JR111562" xr:uid="{00000000-0004-0000-0000-000039010000}"/>
    <hyperlink ref="I231" r:id="rId315" display="https://intelcomgroup.wd3.myworkdayjobs.com/en-US/Intelcom/job/Data-Engineering-Intern_JR111567" xr:uid="{00000000-0004-0000-0000-00003A010000}"/>
    <hyperlink ref="I232" r:id="rId316" display="https://intelcomgroup.wd3.myworkdayjobs.com/en-US/Intelcom/job/AI-Data-Analyst-Intern_JR111568" xr:uid="{00000000-0004-0000-0000-00003B010000}"/>
    <hyperlink ref="C239" r:id="rId317" display="https://jobs.dayforcehcm.com/en-US/mydayforce/InternshipsandCoops/jobs/102385" xr:uid="{00000000-0004-0000-0000-00003C010000}"/>
    <hyperlink ref="I239" r:id="rId318" display="https://jobs.dayforcehcm.com/en-US/mydayforce/InternshipsandCoops/jobs/102385" xr:uid="{00000000-0004-0000-0000-00003D010000}"/>
    <hyperlink ref="C240" r:id="rId319" display="https://jobs.dayforcehcm.com/en-US/mydayforce/InternshipsandCoops/jobs/102413" xr:uid="{00000000-0004-0000-0000-00003E010000}"/>
    <hyperlink ref="I240" r:id="rId320" display="https://jobs.dayforcehcm.com/en-US/mydayforce/InternshipsandCoops/jobs/102413" xr:uid="{00000000-0004-0000-0000-00003F010000}"/>
    <hyperlink ref="C241" r:id="rId321" display="https://jobs.dayforcehcm.com/en-US/mydayforce/InternshipsandCoops/jobs/102395" xr:uid="{00000000-0004-0000-0000-000040010000}"/>
    <hyperlink ref="I241" r:id="rId322" display="https://jobs.dayforcehcm.com/en-US/mydayforce/InternshipsandCoops/jobs/102395" xr:uid="{00000000-0004-0000-0000-000041010000}"/>
    <hyperlink ref="C242" r:id="rId323" display="https://careers.qualcomm.com/careers/job/446721064094" xr:uid="{00000000-0004-0000-0000-000042010000}"/>
    <hyperlink ref="I242" r:id="rId324" display="https://careers.qualcomm.com/careers/job/446721064094" xr:uid="{00000000-0004-0000-0000-000043010000}"/>
    <hyperlink ref="C243" r:id="rId325" display="https://careers.qualcomm.com/careers/job/446721064018" xr:uid="{00000000-0004-0000-0000-000044010000}"/>
    <hyperlink ref="I243" r:id="rId326" display="https://careers.qualcomm.com/careers/job/446721064018" xr:uid="{00000000-0004-0000-0000-000045010000}"/>
    <hyperlink ref="C244" r:id="rId327" display="https://careers.qualcomm.com/careers/job/446721143440" xr:uid="{00000000-0004-0000-0000-000046010000}"/>
    <hyperlink ref="I244" r:id="rId328" display="https://careers.qualcomm.com/careers/job/446721143440" xr:uid="{00000000-0004-0000-0000-000047010000}"/>
    <hyperlink ref="C245" r:id="rId329" display="https://careers.qualcomm.com/careers/job/446721229661" xr:uid="{00000000-0004-0000-0000-000048010000}"/>
    <hyperlink ref="I245" r:id="rId330" display="https://careers.qualcomm.com/careers/job/446721229661" xr:uid="{00000000-0004-0000-0000-000049010000}"/>
    <hyperlink ref="C246" r:id="rId331" display="https://careers.qualcomm.com/careers/job/446721109168" xr:uid="{00000000-0004-0000-0000-00004A010000}"/>
    <hyperlink ref="I246" r:id="rId332" display="https://careers.qualcomm.com/careers/job/446721109168" xr:uid="{00000000-0004-0000-0000-00004B010000}"/>
    <hyperlink ref="C247" r:id="rId333" display="https://careers.qualcomm.com/careers/job/446721141411" xr:uid="{00000000-0004-0000-0000-00004C010000}"/>
    <hyperlink ref="I247" r:id="rId334" display="https://careers.qualcomm.com/careers/job/446721141411" xr:uid="{00000000-0004-0000-0000-00004D010000}"/>
    <hyperlink ref="C248" r:id="rId335" display="https://careers.qualcomm.com/careers/job/446721156615" xr:uid="{00000000-0004-0000-0000-00004E010000}"/>
    <hyperlink ref="I248" r:id="rId336" xr:uid="{00000000-0004-0000-0000-00004F010000}"/>
    <hyperlink ref="C249" r:id="rId337" display="https://careers.qualcomm.com/careers/job/446721156182" xr:uid="{00000000-0004-0000-0000-000050010000}"/>
    <hyperlink ref="I249" r:id="rId338" display="https://careers.qualcomm.com/careers/job/446721156182" xr:uid="{00000000-0004-0000-0000-000051010000}"/>
    <hyperlink ref="C250" r:id="rId339" display="https://careers.qualcomm.com/careers/job/446721156800" xr:uid="{00000000-0004-0000-0000-000052010000}"/>
    <hyperlink ref="I250" r:id="rId340" display="https://careers.qualcomm.com/careers/job/446721156800" xr:uid="{00000000-0004-0000-0000-000053010000}"/>
    <hyperlink ref="C251" r:id="rId341" display="https://careers.qualcomm.com/careers/job/446721156176" xr:uid="{00000000-0004-0000-0000-000054010000}"/>
    <hyperlink ref="I251" r:id="rId342" display="https://careers.qualcomm.com/careers/job/446721156176" xr:uid="{00000000-0004-0000-0000-000055010000}"/>
    <hyperlink ref="C252" r:id="rId343" display="https://careers.qualcomm.com/careers/job/446721143274" xr:uid="{00000000-0004-0000-0000-000056010000}"/>
    <hyperlink ref="I252" r:id="rId344" display="https://careers.qualcomm.com/careers/job/446721143274" xr:uid="{00000000-0004-0000-0000-000057010000}"/>
    <hyperlink ref="C253" r:id="rId345" display="https://careers.qualcomm.com/careers/job/446721064141" xr:uid="{00000000-0004-0000-0000-000058010000}"/>
    <hyperlink ref="I253" r:id="rId346" display="https://careers.qualcomm.com/careers/job/446721064141" xr:uid="{00000000-0004-0000-0000-000059010000}"/>
    <hyperlink ref="C254" r:id="rId347" display="https://careers.qualcomm.com/careers/job/446721140914" xr:uid="{00000000-0004-0000-0000-00005A010000}"/>
    <hyperlink ref="I254" r:id="rId348" display="https://careers.qualcomm.com/careers/job/446721140914" xr:uid="{00000000-0004-0000-0000-00005B010000}"/>
    <hyperlink ref="C255" r:id="rId349" display="https://careers.qualcomm.com/careers/job/446721142985" xr:uid="{00000000-0004-0000-0000-00005C010000}"/>
    <hyperlink ref="I255" r:id="rId350" display="https://careers.qualcomm.com/careers/job/446721142985" xr:uid="{00000000-0004-0000-0000-00005D010000}"/>
    <hyperlink ref="C258" r:id="rId351" display="https://jobs.lever.co/veeva/85fe3393-f296-4463-88a2-5454c6ba334b" xr:uid="{00000000-0004-0000-0000-00005E010000}"/>
    <hyperlink ref="I258" r:id="rId352" display="https://jobs.lever.co/veeva/85fe3393-f296-4463-88a2-5454c6ba334b" xr:uid="{00000000-0004-0000-0000-00005F010000}"/>
    <hyperlink ref="C259" r:id="rId353" display="https://fa-ewde-saasfaprod1.fa.ocs.oraclecloud.com/hcmUI/CandidateExperience/fr-CA/sites/CX_1/job/1001326?keyword=stagiaire&amp;mode=location" xr:uid="{00000000-0004-0000-0000-000060010000}"/>
    <hyperlink ref="I259" r:id="rId354" display="https://fa-ewde-saasfaprod1.fa.ocs.oraclecloud.com/hcmUI/CandidateExperience/fr-CA/sites/CX_1/job/1001326?keyword=stagiaire&amp;mode=location" xr:uid="{00000000-0004-0000-0000-000061010000}"/>
    <hyperlink ref="I260" r:id="rId355" display="https://jira.cengn.ca/servicedesk/customer/portal/10/user/login?destination=portal%2F10%2Fcreate%2F259" xr:uid="{00000000-0004-0000-0000-000062010000}"/>
    <hyperlink ref="C264" r:id="rId356" display="https://rbi.wd3.myworkdayjobs.com/en-US/RBI_External_Career_Site/job/Undergraduate-Summer-Internship-Program---Toronto_R3758?locationCountry=a30a87ed25634629aa6c3958aa2b91ea&amp;locations=7e87ecb61742015a7b6e03a11b02a1d1" xr:uid="{00000000-0004-0000-0000-000063010000}"/>
    <hyperlink ref="I264" r:id="rId357" display="https://rbi.wd3.myworkdayjobs.com/en-US/RBI_External_Career_Site/job/Undergraduate-Summer-Internship-Program---Toronto_R3758?locationCountry=a30a87ed25634629aa6c3958aa2b91ea&amp;locations=7e87ecb61742015a7b6e03a11b02a1d1" xr:uid="{00000000-0004-0000-0000-000064010000}"/>
    <hyperlink ref="C265" r:id="rId358" display="https://jobs.lever.co/analyticpartners/f4d7b848-878f-4761-be25-3d6e4f4d1a54" xr:uid="{00000000-0004-0000-0000-000065010000}"/>
    <hyperlink ref="I265" r:id="rId359" display="https://jobs.lever.co/analyticpartners/f4d7b848-878f-4761-be25-3d6e4f4d1a54" xr:uid="{00000000-0004-0000-0000-000066010000}"/>
    <hyperlink ref="I320" r:id="rId360" display="https://flexspring.bamboohr.com/careers/69" xr:uid="{00000000-0004-0000-0000-000067010000}"/>
    <hyperlink ref="I321" r:id="rId361" display="https://flexspring.bamboohr.com/careers/68" xr:uid="{00000000-0004-0000-0000-000068010000}"/>
    <hyperlink ref="C322" r:id="rId362" display="https://www.tourmalineoil.com/careers/data-and-analytics-intern-student" xr:uid="{00000000-0004-0000-0000-000069010000}"/>
    <hyperlink ref="I322" r:id="rId363" display="https://www.tourmalineoil.com/careers/data-and-analytics-intern-student" xr:uid="{00000000-0004-0000-0000-00006A010000}"/>
    <hyperlink ref="I323" r:id="rId364" display="https://workforcenow.adp.com/mascsr/default/mdf/recruitment/recruitment.html?cid=6008c003-f9a4-47a3-8573-a3b0d594bcba&amp;ccId=9200645568272_2&amp;jobId=577398&amp;lang=fr_CA" xr:uid="{00000000-0004-0000-0000-00006B010000}"/>
    <hyperlink ref="I324" r:id="rId365" display="https://careers.pcl.com/job/Montr%C3%A9al-%C3%89tudiant%28e%29-en-technologie-Queb/1428512000/" xr:uid="{00000000-0004-0000-0000-00006C010000}"/>
    <hyperlink ref="I325" r:id="rId366" display="https://sweettech.ai/careers/software-development-intern-winter-2027/" xr:uid="{00000000-0004-0000-0000-00006D010000}"/>
    <hyperlink ref="I326" r:id="rId367" display="https://morganstanley.tal.net/vx/lang-en-GB/mobile-0/brand-2/spa-1/candidate/so/pm/1/pl/1/opp/20948-2027-Programme-d-%C3%A9t%C3%A9-en-Technologie-Montr%C3%A9al-2027-Summer-Technology-Analyst-Program-Montreal/en-GB" xr:uid="{00000000-0004-0000-0000-00006E010000}"/>
    <hyperlink ref="C338" r:id="rId368" display="https://emploi.hydroquebec.com/job/Stage-universitaire-Gestion-de-projets-Hiver-2027/188462-fr_FR" xr:uid="{00000000-0004-0000-0000-00006F010000}"/>
    <hyperlink ref="I338" r:id="rId369" display="https://emploi.hydroquebec.com/job/Stage-universitaire-Gestion-de-projets-Hiver-2027/188462-fr_FR" xr:uid="{00000000-0004-0000-0000-000070010000}"/>
    <hyperlink ref="C339" r:id="rId370" display="https://emploi.hydroquebec.com/job/Stage-universitaire-D%C3%A9veloppement-d&amp;apos;outils-et-analyse-de-donn%C3%A9es-%28%C3%A9olien%29-Hiver-2027/188461-fr_FR" xr:uid="{00000000-0004-0000-0000-000071010000}"/>
    <hyperlink ref="I339" r:id="rId371" display="https://emploi.hydroquebec.com/job/Stage-universitaire-D%C3%A9veloppement-d&amp;apos;outils-et-analyse-de-donn%C3%A9es-%28%C3%A9olien%29-Hiver-2027/188461-fr_FR" xr:uid="{00000000-0004-0000-0000-000072010000}"/>
    <hyperlink ref="C340" r:id="rId372" display="https://emploi.hydroquebec.com/job/Stage-universitaire-Technologies-num%C3%A9riques-Cybers%C3%A9curit%C3%A9-Hiver-2027/188478-fr_FR" xr:uid="{00000000-0004-0000-0000-000073010000}"/>
    <hyperlink ref="I340" r:id="rId373" display="https://emploi.hydroquebec.com/job/Stage-universitaire-Technologies-num%C3%A9riques-Cybers%C3%A9curit%C3%A9-Hiver-2027/188478-fr_FR" xr:uid="{00000000-0004-0000-0000-000074010000}"/>
    <hyperlink ref="C341" r:id="rId374" display="https://emploi.hydroquebec.com/job/Stage-universitaire-Technologies-num%C3%A9riques-D%C3%A9veloppement-Hiver-2027/189043-fr_FR" xr:uid="{00000000-0004-0000-0000-000075010000}"/>
    <hyperlink ref="I341" r:id="rId375" display="https://emploi.hydroquebec.com/job/Stage-universitaire-Technologies-num%C3%A9riques-D%C3%A9veloppement-Hiver-2027/189043-fr_FR" xr:uid="{00000000-0004-0000-0000-000076010000}"/>
    <hyperlink ref="C342" r:id="rId376" display="https://emploi.hydroquebec.com/job/Stage-universitaire-g%C3%A9nie-informatique-Hiver-2027/188575-fr_FR" xr:uid="{00000000-0004-0000-0000-000077010000}"/>
    <hyperlink ref="I342" r:id="rId377" display="https://emploi.hydroquebec.com/job/Stage-universitaire-g%C3%A9nie-informatique-Hiver-2027/188575-fr_FR" xr:uid="{00000000-0004-0000-0000-000078010000}"/>
    <hyperlink ref="C343" r:id="rId378" display="https://emploi.hydroquebec.com/job/Stage-universitaire-g%C3%A9nie-informatique-Hiver-2027/188575-fr_FR" xr:uid="{00000000-0004-0000-0000-000079010000}"/>
    <hyperlink ref="I343" r:id="rId379" display="https://emploi.hydroquebec.com/job/Stage-universitaire-g%C3%A9nie-informatique-Hiver-2027/188575-fr_FR" xr:uid="{00000000-0004-0000-0000-00007A010000}"/>
    <hyperlink ref="C344" r:id="rId380" display="https://emploi.hydroquebec.com/job/Stage-universitaire-Informatique-de-gestion-Hiver-2027/188608-fr_FR" xr:uid="{00000000-0004-0000-0000-00007B010000}"/>
    <hyperlink ref="I344" r:id="rId381" display="https://emploi.hydroquebec.com/job/Stage-universitaire-Informatique-de-gestion-Hiver-2027/188608-fr_FR" xr:uid="{00000000-0004-0000-0000-00007C010000}"/>
    <hyperlink ref="C345" r:id="rId382" display="https://emploi.hydroquebec.com/job/Stage-universitaire-Informatique-de-gestion-Hiver-2027/188307-fr_FR" xr:uid="{00000000-0004-0000-0000-00007D010000}"/>
    <hyperlink ref="I345" r:id="rId383" display="https://emploi.hydroquebec.com/job/Stage-universitaire-Informatique-de-gestion-Hiver-2027/188307-fr_FR" xr:uid="{00000000-0004-0000-0000-00007E010000}"/>
    <hyperlink ref="C346" r:id="rId384" display="https://emploi.hydroquebec.com/job/Stage-universitaire-Techno_-num%C3%A9riques-Admin_-des-syst%C3%A8mes-et-des-infrastr_-TI-Hiver-2027/188895-fr_FR" xr:uid="{00000000-0004-0000-0000-00007F010000}"/>
    <hyperlink ref="I346" r:id="rId385" display="https://emploi.hydroquebec.com/job/Stage-universitaire-Techno_-num%C3%A9riques-Admin_-des-syst%C3%A8mes-et-des-infrastr_-TI-Hiver-2027/188895-fr_FR" xr:uid="{00000000-0004-0000-0000-000080010000}"/>
    <hyperlink ref="C347" r:id="rId386" display="https://emploi.hydroquebec.com/job/Stage-universitaire-Gestion-de-projets-Hiver-2027/188849-fr_FR" xr:uid="{00000000-0004-0000-0000-000081010000}"/>
    <hyperlink ref="I347" r:id="rId387" display="https://emploi.hydroquebec.com/job/Stage-universitaire-Gestion-de-projets-Hiver-2027/188849-fr_FR" xr:uid="{00000000-0004-0000-0000-000082010000}"/>
    <hyperlink ref="C348" r:id="rId388" display="https://emploi.hydroquebec.com/job/Stage-universitaire-Administration-des-syst%C3%A8mes-et-des-infrastructures-TI-Hiver-2027/188617-fr_FR" xr:uid="{00000000-0004-0000-0000-000083010000}"/>
    <hyperlink ref="I348" r:id="rId389" display="https://emploi.hydroquebec.com/job/Stage-universitaire-Administration-des-syst%C3%A8mes-et-des-infrastructures-TI-Hiver-2027/188617-fr_FR" xr:uid="{00000000-0004-0000-0000-000084010000}"/>
    <hyperlink ref="C349" r:id="rId390" display="https://emploi.hydroquebec.com/job/Stage-universitaire-Analyse-de-donn%C3%A9es-Hiver-2027/188411-fr_FR" xr:uid="{00000000-0004-0000-0000-000085010000}"/>
    <hyperlink ref="I349" r:id="rId391" display="https://emploi.hydroquebec.com/job/Stage-universitaire-Analyse-de-donn%C3%A9es-Hiver-2027/188411-fr_FR" xr:uid="{00000000-0004-0000-0000-000086010000}"/>
    <hyperlink ref="C350" r:id="rId392" display="https://emploi.hydroquebec.com/job/Stage-universitaire-Technologies-num%C3%A9riques-Gestion-de-projets-Hiver-2027/188916-fr_FR" xr:uid="{00000000-0004-0000-0000-000087010000}"/>
    <hyperlink ref="I350" r:id="rId393" display="https://emploi.hydroquebec.com/job/Stage-universitaire-Technologies-num%C3%A9riques-Gestion-de-projets-Hiver-2027/188916-fr_FR" xr:uid="{00000000-0004-0000-0000-000088010000}"/>
    <hyperlink ref="C351" r:id="rId394" display="https://emploi.hydroquebec.com/job/Stage-universitaire-Technologies-num%C3%A9riques-G%C3%A9nie-logiciel-Hiver-2027/188897-fr_FR" xr:uid="{00000000-0004-0000-0000-000089010000}"/>
    <hyperlink ref="I351" r:id="rId395" display="https://emploi.hydroquebec.com/job/Stage-universitaire-Technologies-num%C3%A9riques-G%C3%A9nie-logiciel-Hiver-2027/188897-fr_FR" xr:uid="{00000000-0004-0000-0000-00008A010000}"/>
    <hyperlink ref="C352" r:id="rId396" display="https://jobs.autodesk.com/careers?start=10&amp;pid=1443153498671&amp;sort_by=timestamp&amp;filter_job_category=intern+fg" xr:uid="{00000000-0004-0000-0000-00008B010000}"/>
    <hyperlink ref="I352" r:id="rId397" display="https://jobs.autodesk.com/careers?start=10&amp;pid=1443153498671&amp;sort_by=timestamp&amp;filter_job_category=intern+fg" xr:uid="{00000000-0004-0000-0000-00008C010000}"/>
    <hyperlink ref="C353" r:id="rId398" display="https://jobs.autodesk.com/careers?start=10&amp;pid=1443153535146&amp;sort_by=timestamp&amp;filter_job_category=intern+fg" xr:uid="{00000000-0004-0000-0000-00008D010000}"/>
    <hyperlink ref="I353" r:id="rId399" display="https://jobs.autodesk.com/careers?start=10&amp;pid=1443153535146&amp;sort_by=timestamp&amp;filter_job_category=intern+fg" xr:uid="{00000000-0004-0000-0000-00008E010000}"/>
    <hyperlink ref="I354" r:id="rId400" display="https://avantageplus.recruitee.com/o/candidature-spontanee-2-3/c/new" xr:uid="{00000000-0004-0000-0000-00008F010000}"/>
    <hyperlink ref="I355" r:id="rId401" location="2" display="https://bba.csod.com/ux/ats/careersite/4/requisition/2194/application?c=bba&amp;state=qc&amp;city=montreal_quebec+city&amp;lang=en-US&amp;axeptio_token=ew1uvTJuiYSa0pR7Sl16GQSxPA&amp;_gl=1*1381bqn*_gcl_au*MTM3MjE4ODQ0Ni4xNzkwODAwMzA0*_ga*MTY3MDA2MjUwNC4xNzkwODAwMzAx*_ga_X4MFQT1G0B*czE3OTA4MDAzMDAkbzEkZzEkdDE3OTA4MDAzMTgkajQ1JGwwJGgw&amp;jobboardid=0 - 2" xr:uid="{00000000-0004-0000-0000-000090010000}"/>
    <hyperlink ref="C356" r:id="rId402" display="https://bba.csod.com/ux/ats/careersite/4/home/requisition/3139?c=bba&amp;lang=en-US&amp;axeptio_token=ew1uvTJuiYSa0pR7Sl16GQSxPA&amp;_gl=1*1381bqn*_gcl_au*MTM3MjE4ODQ0Ni4xNzkwODAwMzA0*_ga*MTY3MDA2MjUwNC4xNzkwODAwMzAx*_ga_X4MFQT1G0B*czE3OTA4MDAzMDAkbzEkZzEkdDE3OTA4MDAzMTgkajQ1JGwwJGgw" xr:uid="{00000000-0004-0000-0000-000091010000}"/>
    <hyperlink ref="I356" r:id="rId403" display="https://bba.csod.com/ux/ats/careersite/4/home/requisition/3139?c=bba&amp;lang=en-US&amp;axeptio_token=ew1uvTJuiYSa0pR7Sl16GQSxPA&amp;_gl=1*1381bqn*_gcl_au*MTM3MjE4ODQ0Ni4xNzkwODAwMzA0*_ga*MTY3MDA2MjUwNC4xNzkwODAwMzAx*_ga_X4MFQT1G0B*czE3OTA4MDAzMDAkbzEkZzEkdDE3OTA4MDAzMTgkajQ1JGwwJGgw" xr:uid="{00000000-0004-0000-0000-000092010000}"/>
    <hyperlink ref="C357" r:id="rId404" display="https://www.drw.com/work-at-drw/listings/software-developer-intern-3466687" xr:uid="{00000000-0004-0000-0000-000093010000}"/>
    <hyperlink ref="I357" r:id="rId405" display="https://www.drw.com/work-at-drw/listings/software-developer-intern-3466687" xr:uid="{00000000-0004-0000-0000-000094010000}"/>
    <hyperlink ref="C358" r:id="rId406" display="https://www.famictech.com/en/Company/Careers/Internships" xr:uid="{00000000-0004-0000-0000-000095010000}"/>
    <hyperlink ref="I358" r:id="rId407" display="https://www.famictech.com/en/Company/Careers/Internships" xr:uid="{00000000-0004-0000-0000-000096010000}"/>
    <hyperlink ref="I359" r:id="rId408" display="https://ipconsul.com/en/about/career/" xr:uid="{00000000-0004-0000-0000-000097010000}"/>
    <hyperlink ref="C360" r:id="rId409" display="https://lumentum.wd5.myworkdayjobs.com/en-US/LITE/details/Reliability-Test-Automation-Engineer--Co-op-Intern-_20261382?workerSubType=01232ead616f01ef5e875b3e6310c01d&amp;workerSubType=01232ead616f01895fdd7a406310c91d" xr:uid="{00000000-0004-0000-0000-000098010000}"/>
    <hyperlink ref="I360" r:id="rId410" display="https://lumentum.wd5.myworkdayjobs.com/en-US/LITE/details/Reliability-Test-Automation-Engineer--Co-op-Intern-_20261382?workerSubType=01232ead616f01ef5e875b3e6310c01d&amp;workerSubType=01232ead616f01895fdd7a406310c91d" xr:uid="{00000000-0004-0000-0000-000099010000}"/>
    <hyperlink ref="C361" r:id="rId411" display="https://lumentum.wd5.myworkdayjobs.com/en-US/LITE/details/Embedded-Software-DevSecOps-Engineer--Co-op-Student-_20261355?workerSubType=01232ead616f01ef5e875b3e6310c01d&amp;workerSubType=01232ead616f01895fdd7a406310c91d" xr:uid="{00000000-0004-0000-0000-00009A010000}"/>
    <hyperlink ref="I361" r:id="rId412" display="https://lumentum.wd5.myworkdayjobs.com/en-US/LITE/details/Embedded-Software-DevSecOps-Engineer--Co-op-Student-_20261355?workerSubType=01232ead616f01ef5e875b3e6310c01d&amp;workerSubType=01232ead616f01895fdd7a406310c91d" xr:uid="{00000000-0004-0000-0000-00009B010000}"/>
    <hyperlink ref="C362" r:id="rId413" display="https://lumentum.wd5.myworkdayjobs.com/en-US/LITE/details/Embedded-Software-DevSecOps-Engineer--Co-op-Student-_20261356?workerSubType=01232ead616f01ef5e875b3e6310c01d&amp;workerSubType=01232ead616f01895fdd7a406310c91d" xr:uid="{00000000-0004-0000-0000-00009C010000}"/>
    <hyperlink ref="I362" r:id="rId414" display="https://lumentum.wd5.myworkdayjobs.com/en-US/LITE/details/Embedded-Software-DevSecOps-Engineer--Co-op-Student-_20261356?workerSubType=01232ead616f01ef5e875b3e6310c01d&amp;workerSubType=01232ead616f01895fdd7a406310c91d" xr:uid="{00000000-0004-0000-0000-00009D010000}"/>
    <hyperlink ref="C363" r:id="rId415" display="https://recruiting.ultipro.ca/MAT5002MARX/JobBoard/69a03e48-0d5a-46df-9cba-fbcc2c7a9dbc/OpportunityDetail?opportunityId=621fe50f-3927-436c-af65-54f170651468" xr:uid="{00000000-0004-0000-0000-00009E010000}"/>
    <hyperlink ref="I363" r:id="rId416" display="https://recruiting.ultipro.ca/MAT5002MARX/JobBoard/69a03e48-0d5a-46df-9cba-fbcc2c7a9dbc/OpportunityDetail?opportunityId=621fe50f-3927-436c-af65-54f170651468" xr:uid="{00000000-0004-0000-0000-00009F010000}"/>
    <hyperlink ref="C364" r:id="rId417" display="https://recruiting.ultipro.ca/MAT5002MARX/JobBoard/69a03e48-0d5a-46df-9cba-fbcc2c7a9dbc/OpportunityDetail?opportunityId=5d3c3530-7ef4-4f2d-918b-79e18981643c" xr:uid="{00000000-0004-0000-0000-0000A0010000}"/>
    <hyperlink ref="I364" r:id="rId418" display="https://recruiting.ultipro.ca/MAT5002MARX/JobBoard/69a03e48-0d5a-46df-9cba-fbcc2c7a9dbc/OpportunityDetail?opportunityId=5d3c3530-7ef4-4f2d-918b-79e18981643c" xr:uid="{00000000-0004-0000-0000-0000A1010000}"/>
    <hyperlink ref="C365" r:id="rId419" display="https://recruiting.ultipro.ca/MAT5002MARX/JobBoard/69a03e48-0d5a-46df-9cba-fbcc2c7a9dbc/OpportunityDetail?opportunityId=2dc61798-9c1d-4642-a02f-258a2099fdc9" xr:uid="{00000000-0004-0000-0000-0000A2010000}"/>
    <hyperlink ref="I365" r:id="rId420" display="https://recruiting.ultipro.ca/MAT5002MARX/JobBoard/69a03e48-0d5a-46df-9cba-fbcc2c7a9dbc/OpportunityDetail?opportunityId=2dc61798-9c1d-4642-a02f-258a2099fdc9" xr:uid="{00000000-0004-0000-0000-0000A3010000}"/>
    <hyperlink ref="C366" r:id="rId421" display="https://recruiting.ultipro.ca/MAT5002MARX/JobBoard/69a03e48-0d5a-46df-9cba-fbcc2c7a9dbc/OpportunityDetail?opportunityId=8e4216dd-27c5-47f4-9f9a-5aa97d575c61" xr:uid="{00000000-0004-0000-0000-0000A4010000}"/>
    <hyperlink ref="I366" r:id="rId422" display="https://recruiting.ultipro.ca/MAT5002MARX/JobBoard/69a03e48-0d5a-46df-9cba-fbcc2c7a9dbc/OpportunityDetail?opportunityId=8e4216dd-27c5-47f4-9f9a-5aa97d575c61" xr:uid="{00000000-0004-0000-0000-0000A5010000}"/>
    <hyperlink ref="C367" r:id="rId423" display="https://recruiting.ultipro.ca/MAT5002MARX/JobBoard/69a03e48-0d5a-46df-9cba-fbcc2c7a9dbc/OpportunityDetail?opportunityId=6054dfe0-1174-4f39-84cf-cdbc3725f5d9" xr:uid="{00000000-0004-0000-0000-0000A6010000}"/>
    <hyperlink ref="I367" r:id="rId424" display="https://recruiting.ultipro.ca/MAT5002MARX/JobBoard/69a03e48-0d5a-46df-9cba-fbcc2c7a9dbc/OpportunityDetail?opportunityId=6054dfe0-1174-4f39-84cf-cdbc3725f5d9" xr:uid="{00000000-0004-0000-0000-0000A7010000}"/>
    <hyperlink ref="C368" r:id="rId425" display="https://recruiting.ultipro.ca/MAT5002MARX/JobBoard/69a03e48-0d5a-46df-9cba-fbcc2c7a9dbc/OpportunityDetail?opportunityId=e5f20ceb-ecca-4c71-a03e-a1fd362432e8" xr:uid="{00000000-0004-0000-0000-0000A8010000}"/>
    <hyperlink ref="I368" r:id="rId426" display="https://recruiting.ultipro.ca/MAT5002MARX/JobBoard/69a03e48-0d5a-46df-9cba-fbcc2c7a9dbc/OpportunityDetail?opportunityId=e5f20ceb-ecca-4c71-a03e-a1fd362432e8" xr:uid="{00000000-0004-0000-0000-0000A9010000}"/>
    <hyperlink ref="I369" r:id="rId427" display="https://orthogone.com/new-grads-interns/" xr:uid="{00000000-0004-0000-0000-0000AA010000}"/>
    <hyperlink ref="I376" r:id="rId428" display="https://altencanada.com/carriere/" xr:uid="{00000000-0004-0000-0000-0000AB010000}"/>
    <hyperlink ref="I377" r:id="rId429" display="https://brimfinancial.com/careers?jobId=F0D50B5E-C9AC-6EA3-A8F6-D55672EC547C" xr:uid="{00000000-0004-0000-0000-0000AC010000}"/>
    <hyperlink ref="I378" r:id="rId430" display="https://brimfinancial.com/careers?jobId=840641b6-dd54-c100-145d-58d344e979bb" xr:uid="{00000000-0004-0000-0000-0000AD010000}"/>
    <hyperlink ref="I379" r:id="rId431" display="https://cgi.njoyn.com/CORP/xweb/xweb.asp?NTKN=c&amp;clid=21001&amp;Page=JobDetails&amp;Jobid=J0926-0904&amp;BRID=1338184&amp;lang=1" xr:uid="{00000000-0004-0000-0000-0000AE010000}"/>
    <hyperlink ref="I380" r:id="rId432" display="https://cgi.njoyn.com/CORP/xweb/xweb.asp?NTKN=c&amp;clid=21001&amp;Page=JobDetails&amp;Jobid=J0926-0972&amp;BRID=1337558&amp;lang=1" xr:uid="{00000000-0004-0000-0000-0000AF010000}"/>
    <hyperlink ref="I381" r:id="rId433" display="https://cgi.njoyn.com/CORP/xweb/xweb.asp?NTKN=c&amp;clid=21001&amp;Page=JobDetails&amp;Jobid=J0926-2493&amp;BRID=1337125&amp;lang=1" xr:uid="{00000000-0004-0000-0000-0000B0010000}"/>
    <hyperlink ref="I382" r:id="rId434" display="https://cgi.njoyn.com/CORP/xweb/xweb.asp?NTKN=c&amp;clid=21001&amp;Page=JobDetails&amp;Jobid=J0926-1783&amp;BRID=1337118&amp;lang=1" xr:uid="{00000000-0004-0000-0000-0000B1010000}"/>
    <hyperlink ref="I383" r:id="rId435" display="https://cgi.njoyn.com/CORP/xweb/xweb.asp?NTKN=c&amp;clid=21001&amp;Page=JobDetails&amp;Jobid=J0926-2073&amp;BRID=1335777&amp;lang=1" xr:uid="{00000000-0004-0000-0000-0000B2010000}"/>
    <hyperlink ref="I384" r:id="rId436" xr:uid="{00000000-0004-0000-0000-0000B3010000}"/>
    <hyperlink ref="I385" r:id="rId437" display="https://cgi.njoyn.com/CORP/xweb/xweb.asp?NTKN=c&amp;clid=21001&amp;Page=JobDetails&amp;Jobid=J0926-1036&amp;BRID=1335762&amp;lang=1" xr:uid="{00000000-0004-0000-0000-0000B4010000}"/>
    <hyperlink ref="I386" r:id="rId438" display="https://cgi.njoyn.com/CORP/xweb/xweb.asp?NTKN=c&amp;clid=21001&amp;Page=JobDetails&amp;Jobid=J0926-1035&amp;BRID=1335754&amp;lang=1" xr:uid="{00000000-0004-0000-0000-0000B5010000}"/>
    <hyperlink ref="I387" r:id="rId439" display="https://cgi.njoyn.com/CORP/xweb/xweb.asp?NTKN=c&amp;clid=21001&amp;Page=JobDetails&amp;Jobid=J0926-1020&amp;BRID=1335748&amp;lang=1" xr:uid="{00000000-0004-0000-0000-0000B6010000}"/>
    <hyperlink ref="I388" r:id="rId440" display="https://cgi.njoyn.com/CORP/xweb/xweb.asp?NTKN=c&amp;clid=21001&amp;Page=JobDetails&amp;Jobid=J0926-1501&amp;BRID=1334390&amp;lang=1" xr:uid="{00000000-0004-0000-0000-0000B7010000}"/>
    <hyperlink ref="I389" r:id="rId441" display="https://cgi.njoyn.com/CORP/xweb/xweb.asp?NTKN=c&amp;clid=21001&amp;Page=JobDetails&amp;Jobid=J0926-1458&amp;BRID=1334106&amp;lang=1" xr:uid="{00000000-0004-0000-0000-0000B8010000}"/>
    <hyperlink ref="I390" r:id="rId442" display="https://cgi.njoyn.com/CORP/xweb/xweb.asp?NTKN=c&amp;clid=21001&amp;Page=JobDetails&amp;Jobid=J0826-2173&amp;BRID=1330253&amp;lang=1" xr:uid="{00000000-0004-0000-0000-0000B9010000}"/>
    <hyperlink ref="I391" r:id="rId443" display="https://asc-csa.hiringplatform.ca/252651-stage-en-ingenierie-des-systemes-robotiques/1145942-formulaire/en" xr:uid="{00000000-0004-0000-0000-0000BA010000}"/>
    <hyperlink ref="I393" r:id="rId444" display="https://asc-csa.hiringplatform.ca/252627-stagiaire-architecture-integree-de-la-ti/1145834-formulaire/en" xr:uid="{00000000-0004-0000-0000-0000BB010000}"/>
    <hyperlink ref="I395" r:id="rId445" display="https://mthree.com/careers/job/?gh_jid=4374332006" xr:uid="{00000000-0004-0000-0000-0000BC010000}"/>
    <hyperlink ref="I396" r:id="rId446" display="https://recruiting.ultipro.ca/LAU5000LAUC/JobBoard/8eee8c41-11f8-48db-983b-e902bac13b69/OpportunityDetail?opportunityId=25f6d717-c4a3-441d-a11f-4c2bea27e687" xr:uid="{00000000-0004-0000-0000-0000BD010000}"/>
    <hyperlink ref="C398" r:id="rId447" display="https://career17.sapsf.com/portalcareer?_s.crb=BOFeYB0lJXzLlrwxTm71dqklHopkD61Qu8XjmkISPiQ%253d" xr:uid="{00000000-0004-0000-0000-0000BE010000}"/>
    <hyperlink ref="I398" r:id="rId448" display="https://career17.sapsf.com/portalcareer?_s.crb=BOFeYB0lJXzLlrwxTm71dqklHopkD61Qu8XjmkISPiQ%253d" xr:uid="{00000000-0004-0000-0000-0000BF010000}"/>
    <hyperlink ref="C399" r:id="rId449" display="https://career17.sapsf.com/portalcareer?_s.crb=BOFeYB0lJXzLlrwxTm71dqklHopkD61Qu8XjmkISPiQ%253d" xr:uid="{00000000-0004-0000-0000-0000C0010000}"/>
    <hyperlink ref="I399" r:id="rId450" display="https://career17.sapsf.com/portalcareer?_s.crb=BOFeYB0lJXzLlrwxTm71dqklHopkD61Qu8XjmkISPiQ%253d" xr:uid="{00000000-0004-0000-0000-0000C1010000}"/>
    <hyperlink ref="C400" r:id="rId451" display="https://emploi.hydroquebec.com/job/Stage-universitaire-Valorisation-des-donn%C3%A9es-et-Power-BI-Hiver-2027/188646-fr_FR" xr:uid="{00000000-0004-0000-0000-0000C2010000}"/>
    <hyperlink ref="I400" r:id="rId452" display="https://emploi.hydroquebec.com/job/Stage-universitaire-Valorisation-des-donn%C3%A9es-et-Power-BI-Hiver-2027/188646-fr_FR" xr:uid="{00000000-0004-0000-0000-0000C3010000}"/>
    <hyperlink ref="C401" r:id="rId453" display="https://career17.sapsf.com/portalcareer?_s.crb=BOFeYB0lJXzLlrwxTm71dqklHopkD61Qu8XjmkISPiQ%253d" xr:uid="{00000000-0004-0000-0000-0000C4010000}"/>
    <hyperlink ref="I401" r:id="rId454" display="https://career17.sapsf.com/portalcareer?_s.crb=BOFeYB0lJXzLlrwxTm71dqklHopkD61Qu8XjmkISPiQ%253d" xr:uid="{00000000-0004-0000-0000-0000C5010000}"/>
    <hyperlink ref="C402" r:id="rId455" display="https://emploi.hydroquebec.com/job/Stage-universitaire-Technologies-num%C3%A9riques-D%C3%A9veloppement-Hiver-2027/188644-fr_FR" xr:uid="{00000000-0004-0000-0000-0000C6010000}"/>
    <hyperlink ref="I402" r:id="rId456" display="https://emploi.hydroquebec.com/job/Stage-universitaire-Technologies-num%C3%A9riques-D%C3%A9veloppement-Hiver-2027/188644-fr_FR" xr:uid="{00000000-0004-0000-0000-0000C7010000}"/>
    <hyperlink ref="C403" r:id="rId457" display="https://emploi.hydroquebec.com/job/Stage-universitaire-Informatique-de-gestion-Hiver-2027/188651-fr_FR" xr:uid="{00000000-0004-0000-0000-0000C8010000}"/>
    <hyperlink ref="I403" r:id="rId458" display="https://emploi.hydroquebec.com/job/Stage-universitaire-Informatique-de-gestion-Hiver-2027/188651-fr_FR" xr:uid="{00000000-0004-0000-0000-0000C9010000}"/>
    <hyperlink ref="C404" r:id="rId459" display="https://emploi.hydroquebec.com/job/Stage-universitaire-Informatique-Hiver-2027/188648-fr_FR" xr:uid="{00000000-0004-0000-0000-0000CA010000}"/>
    <hyperlink ref="I404" r:id="rId460" display="https://emploi.hydroquebec.com/job/Stage-universitaire-Informatique-Hiver-2027/188648-fr_FR" xr:uid="{00000000-0004-0000-0000-0000CB010000}"/>
    <hyperlink ref="C405" r:id="rId461" display="https://emploi.hydroquebec.com/job/Stage-universitaire-Robotique-et-syst%C3%A8mes-automatis%C3%A9s-%28profil-multidisciplinaire%29-Hiver-2027/188654-fr_FR" xr:uid="{00000000-0004-0000-0000-0000CC010000}"/>
    <hyperlink ref="I405" r:id="rId462" display="https://emploi.hydroquebec.com/job/Stage-universitaire-Robotique-et-syst%C3%A8mes-automatis%C3%A9s-%28profil-multidisciplinaire%29-Hiver-2027/188654-fr_FR" xr:uid="{00000000-0004-0000-0000-0000CD010000}"/>
    <hyperlink ref="C406" r:id="rId463" display="https://emploi.hydroquebec.com/job/Stage-universitaire-Gestion-de-projets-Hiver-2027/188724-fr_FR" xr:uid="{00000000-0004-0000-0000-0000CE010000}"/>
    <hyperlink ref="I406" r:id="rId464" display="https://emploi.hydroquebec.com/job/Stage-universitaire-Gestion-de-projets-Hiver-2027/188724-fr_FR" xr:uid="{00000000-0004-0000-0000-0000CF010000}"/>
    <hyperlink ref="C407" r:id="rId465" display="https://emploi.hydroquebec.com/job/Stage-universitaire-G%C3%A9nie-%C3%A9lectrique-Hiver-2027/188281-fr_FR" xr:uid="{00000000-0004-0000-0000-0000D0010000}"/>
    <hyperlink ref="I407" r:id="rId466" display="https://emploi.hydroquebec.com/job/Stage-universitaire-G%C3%A9nie-%C3%A9lectrique-Hiver-2027/188281-fr_FR" xr:uid="{00000000-0004-0000-0000-0000D1010000}"/>
    <hyperlink ref="C408" r:id="rId467" display="https://emploi.hydroquebec.com/job/Stage-universitaire-D%C3%A9veloppement-de-programme-%28efficacit%C3%A9-%C3%A9nerg%C3%A9tique%29-Hiver-2027/188297-fr_FR" xr:uid="{00000000-0004-0000-0000-0000D2010000}"/>
    <hyperlink ref="I408" r:id="rId468" display="https://emploi.hydroquebec.com/job/Stage-universitaire-D%C3%A9veloppement-de-programme-%28efficacit%C3%A9-%C3%A9nerg%C3%A9tique%29-Hiver-2027/188297-fr_FR" xr:uid="{00000000-0004-0000-0000-0000D3010000}"/>
    <hyperlink ref="C409" r:id="rId469" display="https://emploi.hydroquebec.com/job/Stage-universitaire-Recherche-et-d%C3%A9veloppement-Hiver-2027/188302-fr_FR" xr:uid="{00000000-0004-0000-0000-0000D4010000}"/>
    <hyperlink ref="I409" r:id="rId470" display="https://emploi.hydroquebec.com/job/Stage-universitaire-Recherche-et-d%C3%A9veloppement-Hiver-2027/188302-fr_FR" xr:uid="{00000000-0004-0000-0000-0000D5010000}"/>
    <hyperlink ref="C410" r:id="rId471" display="https://emploi.hydroquebec.com/job/Stage-universitaire-Informatique-de-gestion-Hiver-2027/188307-fr_FR" xr:uid="{00000000-0004-0000-0000-0000D6010000}"/>
    <hyperlink ref="I410" r:id="rId472" display="https://emploi.hydroquebec.com/job/Stage-universitaire-Informatique-de-gestion-Hiver-2027/188307-fr_FR" xr:uid="{00000000-0004-0000-0000-0000D7010000}"/>
    <hyperlink ref="C411" r:id="rId473" display="https://emploi.hydroquebec.com/job/Stage-universitaire-Optimisation-et-mod%C3%A9lisation-%C3%A9nerg%C3%A9tique-Hiver-2027/188874-fr_FR" xr:uid="{00000000-0004-0000-0000-0000D8010000}"/>
    <hyperlink ref="I411" r:id="rId474" display="https://emploi.hydroquebec.com/job/Stage-universitaire-Optimisation-et-mod%C3%A9lisation-%C3%A9nerg%C3%A9tique-Hiver-2027/188874-fr_FR" xr:uid="{00000000-0004-0000-0000-0000D9010000}"/>
    <hyperlink ref="C412" r:id="rId475" display="https://emploi.hydroquebec.com/job/Stage-universitaire-Technologies-num%C3%A9riques-G%C3%A9nie-logiciel-Hiver-2027/188897-fr_FR" xr:uid="{00000000-0004-0000-0000-0000DA010000}"/>
    <hyperlink ref="I412" r:id="rId476" display="https://emploi.hydroquebec.com/job/Stage-universitaire-Technologies-num%C3%A9riques-G%C3%A9nie-logiciel-Hiver-2027/188897-fr_FR" xr:uid="{00000000-0004-0000-0000-0000DB010000}"/>
    <hyperlink ref="C413" r:id="rId477" display="https://emploi.hydroquebec.com/job/Stage-universitaire-Technologies-num%C3%A9riques-Gestion-de-projets-Hiver-2027/188916-fr_FR" xr:uid="{00000000-0004-0000-0000-0000DC010000}"/>
    <hyperlink ref="I413" r:id="rId478" display="https://emploi.hydroquebec.com/job/Stage-universitaire-Technologies-num%C3%A9riques-Gestion-de-projets-Hiver-2027/188916-fr_FR" xr:uid="{00000000-0004-0000-0000-0000DD010000}"/>
    <hyperlink ref="C414" r:id="rId479" display="https://emploi.hydroquebec.com/job/Stage-universitaire-Analyse-de-donn%C3%A9es-Hiver-2027/188411-fr_FR" xr:uid="{00000000-0004-0000-0000-0000DE010000}"/>
    <hyperlink ref="I414" r:id="rId480" display="https://emploi.hydroquebec.com/job/Stage-universitaire-Analyse-de-donn%C3%A9es-Hiver-2027/188411-fr_FR" xr:uid="{00000000-0004-0000-0000-0000DF010000}"/>
    <hyperlink ref="C415" r:id="rId481" display="https://emploi.hydroquebec.com/job/Stage-universitaire-Administration-des-syst%C3%A8mes-et-des-infrastructures-TI-Hiver-2027/188617-fr_FR" xr:uid="{00000000-0004-0000-0000-0000E0010000}"/>
    <hyperlink ref="I415" r:id="rId482" display="https://emploi.hydroquebec.com/job/Stage-universitaire-Administration-des-syst%C3%A8mes-et-des-infrastructures-TI-Hiver-2027/188617-fr_FR" xr:uid="{00000000-0004-0000-0000-0000E1010000}"/>
    <hyperlink ref="C416" r:id="rId483" display="https://emploi.hydroquebec.com/job/Stage-universitaire-Gestion-des-op%C3%A9rations-Hiver-2027/188317-fr_FR" xr:uid="{00000000-0004-0000-0000-0000E2010000}"/>
    <hyperlink ref="I416" r:id="rId484" display="https://emploi.hydroquebec.com/job/Stage-universitaire-Gestion-des-op%C3%A9rations-Hiver-2027/188317-fr_FR" xr:uid="{00000000-0004-0000-0000-0000E3010000}"/>
    <hyperlink ref="C417" r:id="rId485" display="https://emploi.hydroquebec.com/job/Stage-universitaire-Gestion-de-projets-%28administration%29-Hiver-2027/188915-fr_FR" xr:uid="{00000000-0004-0000-0000-0000E4010000}"/>
    <hyperlink ref="I417" r:id="rId486" display="https://emploi.hydroquebec.com/job/Stage-universitaire-Gestion-de-projets-%28administration%29-Hiver-2027/188915-fr_FR" xr:uid="{00000000-0004-0000-0000-0000E5010000}"/>
    <hyperlink ref="C418" r:id="rId487" display="https://emploi.hydroquebec.com/job/Stage-universitaire-D%C3%A9veloppement-d&amp;apos;outils-et-analyse-de-donn%C3%A9es-%28%C3%A9olien%29-Hiver-2027/188461-fr_FR" xr:uid="{00000000-0004-0000-0000-0000E6010000}"/>
    <hyperlink ref="I418" r:id="rId488" display="https://emploi.hydroquebec.com/job/Stage-universitaire-D%C3%A9veloppement-d&amp;apos;outils-et-analyse-de-donn%C3%A9es-%28%C3%A9olien%29-Hiver-2027/188461-fr_FR" xr:uid="{00000000-0004-0000-0000-0000E7010000}"/>
    <hyperlink ref="C419" r:id="rId489" display="https://emploi.hydroquebec.com/job/Stage-universitaire-Technologies-num%C3%A9riques-D%C3%A9veloppement-Hiver-2027/189043-fr_FR" xr:uid="{00000000-0004-0000-0000-0000E8010000}"/>
    <hyperlink ref="I419" r:id="rId490" display="https://emploi.hydroquebec.com/job/Stage-universitaire-Technologies-num%C3%A9riques-D%C3%A9veloppement-Hiver-2027/189043-fr_FR" xr:uid="{00000000-0004-0000-0000-0000E9010000}"/>
    <hyperlink ref="C420" r:id="rId491" display="https://emploi.hydroquebec.com/job/Stage-universitaire-Gestion-des-op%C3%A9rations-Hiver-2027/188280-fr_FR" xr:uid="{00000000-0004-0000-0000-0000EA010000}"/>
    <hyperlink ref="I420" r:id="rId492" display="https://emploi.hydroquebec.com/job/Stage-universitaire-Gestion-des-op%C3%A9rations-Hiver-2027/188280-fr_FR" xr:uid="{00000000-0004-0000-0000-0000EB010000}"/>
    <hyperlink ref="C421" r:id="rId493" display="https://emploi.hydroquebec.com/job/Stage-universitaire-Technologies-num%C3%A9riques-Analyste-fonctionnel-Hiver-2027/189044-fr_FR" xr:uid="{00000000-0004-0000-0000-0000EC010000}"/>
    <hyperlink ref="I421" r:id="rId494" display="https://emploi.hydroquebec.com/job/Stage-universitaire-Technologies-num%C3%A9riques-Analyste-fonctionnel-Hiver-2027/189044-fr_FR" xr:uid="{00000000-0004-0000-0000-0000ED010000}"/>
    <hyperlink ref="C422" r:id="rId495" display="https://emploi.hydroquebec.com/job/Stage-universitaire-g%C3%A9nie-informatique-Hiver-2027/188575-fr_FR" xr:uid="{00000000-0004-0000-0000-0000EE010000}"/>
    <hyperlink ref="I422" r:id="rId496" display="https://emploi.hydroquebec.com/job/Stage-universitaire-g%C3%A9nie-informatique-Hiver-2027/188575-fr_FR" xr:uid="{00000000-0004-0000-0000-0000EF010000}"/>
    <hyperlink ref="C423" r:id="rId497" display="https://www.linkedin.com/jobs/view/4474540210/?refId=5%EF%BF%BD~4%CD%BA%15%3A%EF%BF%BD%00%07%EB%AF%98%EF%BF%BD%EF%BF%BD" xr:uid="{00000000-0004-0000-0000-0000F0010000}"/>
    <hyperlink ref="I423" r:id="rId498" display="https://www.linkedin.com/jobs/view/4474540210/?refId=5%EF%BF%BD~4%CD%BA%15%3A%EF%BF%BD%00%07%EB%AF%98%EF%BF%BD%EF%BF%BD" xr:uid="{00000000-0004-0000-0000-0000F1010000}"/>
    <hyperlink ref="I424" r:id="rId499" display="https://workforcenow.adp.com/mascsr/default/mdf/recruitment/recruitment.html?cid=6008c003-f9a4-47a3-8573-a3b0d594bcba&amp;ccId=9200645568272_2&amp;jobId=577398&amp;lang=fr_CA" xr:uid="{00000000-0004-0000-0000-0000F2010000}"/>
    <hyperlink ref="C426" r:id="rId500" display="https://nvidia.wd5.myworkdayjobs.com/NVIDIAExternalCareerSite/job/US-CA-Santa-Clara/NVIDIA-2027-Ignite-Internships--Software-Engineering_JR2026958" xr:uid="{00000000-0004-0000-0000-0000F3010000}"/>
    <hyperlink ref="I426" r:id="rId501" display="https://nvidia.wd5.myworkdayjobs.com/NVIDIAExternalCareerSite/job/US-CA-Santa-Clara/NVIDIA-2027-Ignite-Internships--Software-Engineering_JR2026958" xr:uid="{00000000-0004-0000-0000-0000F4010000}"/>
  </hyperlinks>
  <pageMargins left="0.7" right="0.7" top="0.75" bottom="0.75" header="0.3" footer="0.3"/>
  <pageSetup orientation="portrait"/>
  <drawing r:id="rId502"/>
  <tableParts count="1">
    <tablePart r:id="rId50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3"/>
  <sheetViews>
    <sheetView tabSelected="1" workbookViewId="0">
      <selection activeCell="F158" sqref="F158"/>
    </sheetView>
  </sheetViews>
  <sheetFormatPr baseColWidth="10" defaultColWidth="9.06640625" defaultRowHeight="14.25" x14ac:dyDescent="0.45"/>
  <cols>
    <col min="2" max="2" width="10.1328125" customWidth="1"/>
    <col min="4" max="4" width="10.33203125" customWidth="1"/>
    <col min="5" max="5" width="9.3984375" customWidth="1"/>
    <col min="6" max="6" width="12.1328125" customWidth="1"/>
    <col min="7" max="7" width="18.796875" customWidth="1"/>
    <col min="8" max="8" width="12.59765625" customWidth="1"/>
    <col min="9" max="9" width="12.3984375" customWidth="1"/>
    <col min="10" max="10" width="12.33203125" customWidth="1"/>
    <col min="11" max="11" width="17.1328125" customWidth="1"/>
  </cols>
  <sheetData>
    <row r="1" spans="1:13" x14ac:dyDescent="0.45">
      <c r="A1" s="26" t="s">
        <v>7</v>
      </c>
      <c r="B1" s="26" t="s">
        <v>8</v>
      </c>
      <c r="C1" s="26" t="s">
        <v>9</v>
      </c>
      <c r="D1" s="26" t="s">
        <v>10</v>
      </c>
      <c r="E1" s="26" t="s">
        <v>11</v>
      </c>
      <c r="F1" s="26" t="s">
        <v>731</v>
      </c>
      <c r="G1" s="26" t="s">
        <v>12</v>
      </c>
      <c r="H1" s="26" t="s">
        <v>13</v>
      </c>
      <c r="I1" s="26" t="s">
        <v>14</v>
      </c>
      <c r="J1" s="26" t="s">
        <v>15</v>
      </c>
      <c r="K1" s="26" t="s">
        <v>16</v>
      </c>
      <c r="L1" s="26" t="s">
        <v>17</v>
      </c>
      <c r="M1" s="26" t="s">
        <v>18</v>
      </c>
    </row>
    <row r="2" spans="1:13" x14ac:dyDescent="0.45">
      <c r="A2" t="s">
        <v>79</v>
      </c>
      <c r="B2" t="s">
        <v>732</v>
      </c>
      <c r="C2" t="s">
        <v>733</v>
      </c>
      <c r="D2" t="s">
        <v>44</v>
      </c>
      <c r="E2" t="s">
        <v>734</v>
      </c>
      <c r="F2" t="s">
        <v>735</v>
      </c>
      <c r="G2" t="s">
        <v>736</v>
      </c>
      <c r="J2" t="s">
        <v>737</v>
      </c>
      <c r="K2" t="s">
        <v>35</v>
      </c>
      <c r="M2" t="s">
        <v>738</v>
      </c>
    </row>
    <row r="3" spans="1:13" x14ac:dyDescent="0.45">
      <c r="A3" t="s">
        <v>79</v>
      </c>
      <c r="B3" t="s">
        <v>739</v>
      </c>
      <c r="C3" t="s">
        <v>740</v>
      </c>
      <c r="D3" t="s">
        <v>44</v>
      </c>
      <c r="E3" t="s">
        <v>741</v>
      </c>
      <c r="F3" t="s">
        <v>735</v>
      </c>
      <c r="G3" t="s">
        <v>736</v>
      </c>
      <c r="J3" t="s">
        <v>742</v>
      </c>
      <c r="K3" t="s">
        <v>35</v>
      </c>
      <c r="M3" t="s">
        <v>738</v>
      </c>
    </row>
    <row r="4" spans="1:13" x14ac:dyDescent="0.45">
      <c r="A4" t="s">
        <v>79</v>
      </c>
      <c r="B4" t="s">
        <v>743</v>
      </c>
      <c r="C4" t="s">
        <v>744</v>
      </c>
      <c r="D4" t="s">
        <v>44</v>
      </c>
      <c r="E4" t="s">
        <v>745</v>
      </c>
      <c r="F4" t="s">
        <v>735</v>
      </c>
      <c r="G4" t="s">
        <v>736</v>
      </c>
      <c r="J4" t="s">
        <v>746</v>
      </c>
      <c r="K4" t="s">
        <v>35</v>
      </c>
      <c r="M4" t="s">
        <v>738</v>
      </c>
    </row>
    <row r="5" spans="1:13" x14ac:dyDescent="0.45">
      <c r="A5" t="s">
        <v>79</v>
      </c>
      <c r="B5" t="s">
        <v>264</v>
      </c>
      <c r="C5" t="s">
        <v>747</v>
      </c>
      <c r="D5" t="s">
        <v>44</v>
      </c>
      <c r="E5" t="s">
        <v>748</v>
      </c>
      <c r="F5" t="s">
        <v>735</v>
      </c>
      <c r="G5" t="s">
        <v>736</v>
      </c>
      <c r="J5" t="s">
        <v>749</v>
      </c>
      <c r="K5" t="s">
        <v>35</v>
      </c>
      <c r="M5" t="s">
        <v>738</v>
      </c>
    </row>
    <row r="6" spans="1:13" x14ac:dyDescent="0.45">
      <c r="A6" t="s">
        <v>79</v>
      </c>
      <c r="B6" t="s">
        <v>174</v>
      </c>
      <c r="C6" t="s">
        <v>750</v>
      </c>
      <c r="D6" t="s">
        <v>44</v>
      </c>
      <c r="E6" t="s">
        <v>751</v>
      </c>
      <c r="F6" t="s">
        <v>735</v>
      </c>
      <c r="G6" t="s">
        <v>736</v>
      </c>
      <c r="J6" t="s">
        <v>752</v>
      </c>
      <c r="K6" t="s">
        <v>35</v>
      </c>
      <c r="M6" t="s">
        <v>738</v>
      </c>
    </row>
    <row r="7" spans="1:13" x14ac:dyDescent="0.45">
      <c r="A7" t="s">
        <v>79</v>
      </c>
      <c r="B7" t="s">
        <v>753</v>
      </c>
      <c r="C7" t="s">
        <v>754</v>
      </c>
      <c r="D7" t="s">
        <v>44</v>
      </c>
      <c r="E7" t="s">
        <v>734</v>
      </c>
      <c r="F7" t="s">
        <v>735</v>
      </c>
      <c r="G7" t="s">
        <v>736</v>
      </c>
      <c r="J7" t="s">
        <v>755</v>
      </c>
      <c r="K7" t="s">
        <v>35</v>
      </c>
      <c r="M7" t="s">
        <v>738</v>
      </c>
    </row>
    <row r="8" spans="1:13" x14ac:dyDescent="0.45">
      <c r="A8" t="s">
        <v>79</v>
      </c>
      <c r="B8" t="s">
        <v>756</v>
      </c>
      <c r="C8" t="s">
        <v>757</v>
      </c>
      <c r="D8" t="s">
        <v>44</v>
      </c>
      <c r="E8" t="s">
        <v>734</v>
      </c>
      <c r="F8" t="s">
        <v>735</v>
      </c>
      <c r="G8" t="s">
        <v>736</v>
      </c>
      <c r="J8" t="s">
        <v>758</v>
      </c>
      <c r="K8" t="s">
        <v>35</v>
      </c>
      <c r="M8" t="s">
        <v>738</v>
      </c>
    </row>
    <row r="9" spans="1:13" x14ac:dyDescent="0.45">
      <c r="A9" t="s">
        <v>79</v>
      </c>
      <c r="B9" t="s">
        <v>759</v>
      </c>
      <c r="C9" t="s">
        <v>760</v>
      </c>
      <c r="D9" t="s">
        <v>44</v>
      </c>
      <c r="E9" t="s">
        <v>734</v>
      </c>
      <c r="F9" t="s">
        <v>735</v>
      </c>
      <c r="G9" t="s">
        <v>736</v>
      </c>
      <c r="J9" t="s">
        <v>761</v>
      </c>
      <c r="K9" t="s">
        <v>35</v>
      </c>
      <c r="M9" t="s">
        <v>738</v>
      </c>
    </row>
    <row r="10" spans="1:13" x14ac:dyDescent="0.45">
      <c r="A10" t="s">
        <v>79</v>
      </c>
      <c r="B10" t="s">
        <v>762</v>
      </c>
      <c r="C10" t="s">
        <v>763</v>
      </c>
      <c r="D10" t="s">
        <v>44</v>
      </c>
      <c r="E10" t="s">
        <v>734</v>
      </c>
      <c r="F10" t="s">
        <v>764</v>
      </c>
      <c r="G10" t="s">
        <v>736</v>
      </c>
      <c r="J10" t="s">
        <v>765</v>
      </c>
      <c r="K10" t="s">
        <v>35</v>
      </c>
      <c r="M10" t="s">
        <v>738</v>
      </c>
    </row>
    <row r="11" spans="1:13" x14ac:dyDescent="0.45">
      <c r="A11" t="s">
        <v>79</v>
      </c>
      <c r="B11" t="s">
        <v>766</v>
      </c>
      <c r="C11" t="s">
        <v>767</v>
      </c>
      <c r="D11" t="s">
        <v>44</v>
      </c>
      <c r="E11" t="s">
        <v>734</v>
      </c>
      <c r="F11" t="s">
        <v>764</v>
      </c>
      <c r="G11" t="s">
        <v>736</v>
      </c>
      <c r="J11" t="s">
        <v>768</v>
      </c>
      <c r="K11" t="s">
        <v>35</v>
      </c>
      <c r="M11" t="s">
        <v>738</v>
      </c>
    </row>
    <row r="12" spans="1:13" x14ac:dyDescent="0.45">
      <c r="A12" t="s">
        <v>79</v>
      </c>
      <c r="B12" t="s">
        <v>769</v>
      </c>
      <c r="C12" t="s">
        <v>770</v>
      </c>
      <c r="D12" t="s">
        <v>44</v>
      </c>
      <c r="E12" t="s">
        <v>734</v>
      </c>
      <c r="F12" t="s">
        <v>764</v>
      </c>
      <c r="G12" t="s">
        <v>736</v>
      </c>
      <c r="J12" t="s">
        <v>771</v>
      </c>
      <c r="K12" t="s">
        <v>35</v>
      </c>
      <c r="M12" t="s">
        <v>738</v>
      </c>
    </row>
    <row r="13" spans="1:13" x14ac:dyDescent="0.45">
      <c r="A13" t="s">
        <v>79</v>
      </c>
      <c r="B13" t="s">
        <v>144</v>
      </c>
      <c r="C13" t="s">
        <v>772</v>
      </c>
      <c r="D13" t="s">
        <v>44</v>
      </c>
      <c r="E13" t="s">
        <v>734</v>
      </c>
      <c r="F13" t="s">
        <v>764</v>
      </c>
      <c r="G13" t="s">
        <v>736</v>
      </c>
      <c r="J13" t="s">
        <v>773</v>
      </c>
      <c r="K13" t="s">
        <v>35</v>
      </c>
      <c r="M13" t="s">
        <v>738</v>
      </c>
    </row>
    <row r="14" spans="1:13" x14ac:dyDescent="0.45">
      <c r="A14" t="s">
        <v>79</v>
      </c>
      <c r="B14" t="s">
        <v>766</v>
      </c>
      <c r="C14" t="s">
        <v>774</v>
      </c>
      <c r="D14" t="s">
        <v>44</v>
      </c>
      <c r="E14" t="s">
        <v>734</v>
      </c>
      <c r="F14" t="s">
        <v>764</v>
      </c>
      <c r="G14" t="s">
        <v>736</v>
      </c>
      <c r="J14" t="s">
        <v>775</v>
      </c>
      <c r="K14" t="s">
        <v>35</v>
      </c>
      <c r="M14" t="s">
        <v>738</v>
      </c>
    </row>
    <row r="15" spans="1:13" x14ac:dyDescent="0.45">
      <c r="A15" t="s">
        <v>79</v>
      </c>
      <c r="B15" t="s">
        <v>766</v>
      </c>
      <c r="C15" t="s">
        <v>776</v>
      </c>
      <c r="D15" t="s">
        <v>44</v>
      </c>
      <c r="E15" t="s">
        <v>734</v>
      </c>
      <c r="F15" t="s">
        <v>764</v>
      </c>
      <c r="G15" t="s">
        <v>736</v>
      </c>
      <c r="J15" t="s">
        <v>777</v>
      </c>
      <c r="K15" t="s">
        <v>35</v>
      </c>
      <c r="M15" t="s">
        <v>738</v>
      </c>
    </row>
    <row r="16" spans="1:13" x14ac:dyDescent="0.45">
      <c r="A16" t="s">
        <v>79</v>
      </c>
      <c r="B16" t="s">
        <v>766</v>
      </c>
      <c r="C16" t="s">
        <v>778</v>
      </c>
      <c r="D16" t="s">
        <v>44</v>
      </c>
      <c r="E16" t="s">
        <v>734</v>
      </c>
      <c r="F16" t="s">
        <v>764</v>
      </c>
      <c r="G16" t="s">
        <v>736</v>
      </c>
      <c r="J16" t="s">
        <v>779</v>
      </c>
      <c r="K16" t="s">
        <v>35</v>
      </c>
      <c r="M16" t="s">
        <v>738</v>
      </c>
    </row>
    <row r="17" spans="1:13" x14ac:dyDescent="0.45">
      <c r="A17" t="s">
        <v>79</v>
      </c>
      <c r="B17" t="s">
        <v>780</v>
      </c>
      <c r="C17" t="s">
        <v>781</v>
      </c>
      <c r="D17" t="s">
        <v>44</v>
      </c>
      <c r="E17" t="s">
        <v>734</v>
      </c>
      <c r="F17" t="s">
        <v>764</v>
      </c>
      <c r="G17" t="s">
        <v>736</v>
      </c>
      <c r="J17" t="s">
        <v>782</v>
      </c>
      <c r="K17" t="s">
        <v>35</v>
      </c>
      <c r="M17" t="s">
        <v>738</v>
      </c>
    </row>
    <row r="18" spans="1:13" x14ac:dyDescent="0.45">
      <c r="A18" t="s">
        <v>79</v>
      </c>
      <c r="B18" t="s">
        <v>769</v>
      </c>
      <c r="C18" t="s">
        <v>783</v>
      </c>
      <c r="D18" t="s">
        <v>44</v>
      </c>
      <c r="E18" t="s">
        <v>734</v>
      </c>
      <c r="F18" t="s">
        <v>764</v>
      </c>
      <c r="G18" t="s">
        <v>736</v>
      </c>
      <c r="J18" t="s">
        <v>784</v>
      </c>
      <c r="K18" t="s">
        <v>35</v>
      </c>
      <c r="M18" t="s">
        <v>738</v>
      </c>
    </row>
    <row r="19" spans="1:13" x14ac:dyDescent="0.45">
      <c r="A19" t="s">
        <v>79</v>
      </c>
      <c r="B19" t="s">
        <v>144</v>
      </c>
      <c r="C19" t="s">
        <v>785</v>
      </c>
      <c r="D19" t="s">
        <v>44</v>
      </c>
      <c r="E19" t="s">
        <v>734</v>
      </c>
      <c r="F19" t="s">
        <v>764</v>
      </c>
      <c r="G19" t="s">
        <v>736</v>
      </c>
      <c r="J19" t="s">
        <v>786</v>
      </c>
      <c r="K19" t="s">
        <v>35</v>
      </c>
      <c r="M19" t="s">
        <v>738</v>
      </c>
    </row>
    <row r="20" spans="1:13" x14ac:dyDescent="0.45">
      <c r="A20" t="s">
        <v>79</v>
      </c>
      <c r="B20" t="s">
        <v>174</v>
      </c>
      <c r="C20" t="s">
        <v>787</v>
      </c>
      <c r="D20" t="s">
        <v>44</v>
      </c>
      <c r="E20" t="s">
        <v>748</v>
      </c>
      <c r="F20" t="s">
        <v>764</v>
      </c>
      <c r="G20" t="s">
        <v>736</v>
      </c>
      <c r="J20" t="s">
        <v>788</v>
      </c>
      <c r="K20" t="s">
        <v>35</v>
      </c>
      <c r="M20" t="s">
        <v>738</v>
      </c>
    </row>
    <row r="21" spans="1:13" x14ac:dyDescent="0.45">
      <c r="A21" t="s">
        <v>79</v>
      </c>
      <c r="B21" t="s">
        <v>756</v>
      </c>
      <c r="C21" t="s">
        <v>789</v>
      </c>
      <c r="D21" t="s">
        <v>44</v>
      </c>
      <c r="E21" t="s">
        <v>734</v>
      </c>
      <c r="F21" t="s">
        <v>764</v>
      </c>
      <c r="G21" t="s">
        <v>736</v>
      </c>
      <c r="J21" t="s">
        <v>790</v>
      </c>
      <c r="K21" t="s">
        <v>35</v>
      </c>
      <c r="M21" t="s">
        <v>738</v>
      </c>
    </row>
    <row r="22" spans="1:13" x14ac:dyDescent="0.45">
      <c r="A22" t="s">
        <v>79</v>
      </c>
      <c r="B22" t="s">
        <v>791</v>
      </c>
      <c r="C22" t="s">
        <v>792</v>
      </c>
      <c r="D22" t="s">
        <v>44</v>
      </c>
      <c r="E22" t="s">
        <v>793</v>
      </c>
      <c r="F22" t="s">
        <v>794</v>
      </c>
      <c r="G22" t="s">
        <v>736</v>
      </c>
      <c r="J22" t="s">
        <v>795</v>
      </c>
      <c r="K22" t="s">
        <v>35</v>
      </c>
      <c r="M22" t="s">
        <v>738</v>
      </c>
    </row>
    <row r="23" spans="1:13" x14ac:dyDescent="0.45">
      <c r="A23" t="s">
        <v>79</v>
      </c>
      <c r="B23" t="s">
        <v>796</v>
      </c>
      <c r="C23" t="s">
        <v>797</v>
      </c>
      <c r="D23" t="s">
        <v>44</v>
      </c>
      <c r="E23" t="s">
        <v>798</v>
      </c>
      <c r="F23" t="s">
        <v>799</v>
      </c>
      <c r="G23" t="s">
        <v>736</v>
      </c>
      <c r="J23" t="s">
        <v>800</v>
      </c>
      <c r="K23" t="s">
        <v>35</v>
      </c>
      <c r="M23" t="s">
        <v>738</v>
      </c>
    </row>
    <row r="24" spans="1:13" x14ac:dyDescent="0.45">
      <c r="A24" t="s">
        <v>79</v>
      </c>
      <c r="B24" t="s">
        <v>264</v>
      </c>
      <c r="C24" t="s">
        <v>801</v>
      </c>
      <c r="D24" t="s">
        <v>44</v>
      </c>
      <c r="E24" t="s">
        <v>748</v>
      </c>
      <c r="F24" t="s">
        <v>802</v>
      </c>
      <c r="G24" t="s">
        <v>736</v>
      </c>
      <c r="J24" t="s">
        <v>803</v>
      </c>
      <c r="K24" t="s">
        <v>35</v>
      </c>
      <c r="M24" t="s">
        <v>738</v>
      </c>
    </row>
    <row r="25" spans="1:13" x14ac:dyDescent="0.45">
      <c r="A25" t="s">
        <v>79</v>
      </c>
      <c r="B25" t="s">
        <v>804</v>
      </c>
      <c r="C25" t="s">
        <v>805</v>
      </c>
      <c r="D25" t="s">
        <v>44</v>
      </c>
      <c r="E25" t="s">
        <v>806</v>
      </c>
      <c r="F25" t="s">
        <v>802</v>
      </c>
      <c r="G25" t="s">
        <v>736</v>
      </c>
      <c r="J25" t="s">
        <v>807</v>
      </c>
      <c r="K25" t="s">
        <v>35</v>
      </c>
      <c r="M25" t="s">
        <v>738</v>
      </c>
    </row>
    <row r="26" spans="1:13" x14ac:dyDescent="0.45">
      <c r="A26" t="s">
        <v>79</v>
      </c>
      <c r="B26" t="s">
        <v>808</v>
      </c>
      <c r="C26" t="s">
        <v>809</v>
      </c>
      <c r="D26" t="s">
        <v>44</v>
      </c>
      <c r="E26" t="s">
        <v>810</v>
      </c>
      <c r="F26" t="s">
        <v>811</v>
      </c>
      <c r="G26" t="s">
        <v>736</v>
      </c>
      <c r="J26" t="s">
        <v>812</v>
      </c>
      <c r="K26" t="s">
        <v>35</v>
      </c>
      <c r="M26" t="s">
        <v>738</v>
      </c>
    </row>
    <row r="27" spans="1:13" x14ac:dyDescent="0.45">
      <c r="A27" t="s">
        <v>79</v>
      </c>
      <c r="B27" t="s">
        <v>804</v>
      </c>
      <c r="C27" t="s">
        <v>813</v>
      </c>
      <c r="D27" t="s">
        <v>44</v>
      </c>
      <c r="E27" t="s">
        <v>806</v>
      </c>
      <c r="F27" t="s">
        <v>811</v>
      </c>
      <c r="G27" t="s">
        <v>736</v>
      </c>
      <c r="J27" t="s">
        <v>814</v>
      </c>
      <c r="K27" t="s">
        <v>35</v>
      </c>
      <c r="M27" t="s">
        <v>738</v>
      </c>
    </row>
    <row r="28" spans="1:13" x14ac:dyDescent="0.45">
      <c r="A28" t="s">
        <v>79</v>
      </c>
      <c r="B28" t="s">
        <v>490</v>
      </c>
      <c r="C28" t="s">
        <v>815</v>
      </c>
      <c r="D28" t="s">
        <v>44</v>
      </c>
      <c r="E28" t="s">
        <v>816</v>
      </c>
      <c r="F28" t="s">
        <v>817</v>
      </c>
      <c r="G28" t="s">
        <v>736</v>
      </c>
      <c r="J28" t="s">
        <v>818</v>
      </c>
      <c r="K28" t="s">
        <v>35</v>
      </c>
      <c r="M28" t="s">
        <v>738</v>
      </c>
    </row>
    <row r="29" spans="1:13" x14ac:dyDescent="0.45">
      <c r="A29" t="s">
        <v>79</v>
      </c>
      <c r="B29" t="s">
        <v>819</v>
      </c>
      <c r="C29" t="s">
        <v>820</v>
      </c>
      <c r="D29" t="s">
        <v>44</v>
      </c>
      <c r="E29" t="s">
        <v>734</v>
      </c>
      <c r="F29" t="s">
        <v>817</v>
      </c>
      <c r="G29" t="s">
        <v>736</v>
      </c>
      <c r="J29" t="s">
        <v>821</v>
      </c>
      <c r="K29" t="s">
        <v>35</v>
      </c>
      <c r="M29" t="s">
        <v>738</v>
      </c>
    </row>
    <row r="30" spans="1:13" x14ac:dyDescent="0.45">
      <c r="A30" t="s">
        <v>79</v>
      </c>
      <c r="B30" t="s">
        <v>756</v>
      </c>
      <c r="C30" t="s">
        <v>822</v>
      </c>
      <c r="D30" t="s">
        <v>44</v>
      </c>
      <c r="E30" t="s">
        <v>751</v>
      </c>
      <c r="F30" t="s">
        <v>817</v>
      </c>
      <c r="G30" t="s">
        <v>736</v>
      </c>
      <c r="J30" t="s">
        <v>823</v>
      </c>
      <c r="K30" t="s">
        <v>35</v>
      </c>
      <c r="M30" t="s">
        <v>738</v>
      </c>
    </row>
    <row r="31" spans="1:13" x14ac:dyDescent="0.45">
      <c r="A31" t="s">
        <v>79</v>
      </c>
      <c r="B31" t="s">
        <v>824</v>
      </c>
      <c r="C31" t="s">
        <v>825</v>
      </c>
      <c r="D31" t="s">
        <v>44</v>
      </c>
      <c r="E31" t="s">
        <v>826</v>
      </c>
      <c r="F31" t="s">
        <v>817</v>
      </c>
      <c r="G31" t="s">
        <v>736</v>
      </c>
      <c r="J31" t="s">
        <v>827</v>
      </c>
      <c r="K31" t="s">
        <v>35</v>
      </c>
      <c r="M31" t="s">
        <v>738</v>
      </c>
    </row>
    <row r="32" spans="1:13" x14ac:dyDescent="0.45">
      <c r="A32" t="s">
        <v>79</v>
      </c>
      <c r="B32" t="s">
        <v>791</v>
      </c>
      <c r="C32" t="s">
        <v>828</v>
      </c>
      <c r="D32" t="s">
        <v>44</v>
      </c>
      <c r="E32" t="s">
        <v>793</v>
      </c>
      <c r="F32" t="s">
        <v>829</v>
      </c>
      <c r="G32" t="s">
        <v>736</v>
      </c>
      <c r="J32" t="s">
        <v>830</v>
      </c>
      <c r="K32" t="s">
        <v>35</v>
      </c>
      <c r="M32" t="s">
        <v>738</v>
      </c>
    </row>
    <row r="33" spans="1:13" x14ac:dyDescent="0.45">
      <c r="A33" t="s">
        <v>79</v>
      </c>
      <c r="B33" t="s">
        <v>766</v>
      </c>
      <c r="C33" t="s">
        <v>831</v>
      </c>
      <c r="D33" t="s">
        <v>44</v>
      </c>
      <c r="E33" t="s">
        <v>793</v>
      </c>
      <c r="F33" t="s">
        <v>829</v>
      </c>
      <c r="G33" t="s">
        <v>736</v>
      </c>
      <c r="J33" t="s">
        <v>832</v>
      </c>
      <c r="K33" t="s">
        <v>35</v>
      </c>
      <c r="M33" t="s">
        <v>738</v>
      </c>
    </row>
    <row r="34" spans="1:13" x14ac:dyDescent="0.45">
      <c r="A34" t="s">
        <v>79</v>
      </c>
      <c r="B34" t="s">
        <v>833</v>
      </c>
      <c r="C34" t="s">
        <v>834</v>
      </c>
      <c r="D34" t="s">
        <v>44</v>
      </c>
      <c r="E34" t="s">
        <v>835</v>
      </c>
      <c r="F34" t="s">
        <v>829</v>
      </c>
      <c r="G34" t="s">
        <v>736</v>
      </c>
      <c r="J34" t="s">
        <v>836</v>
      </c>
      <c r="K34" t="s">
        <v>35</v>
      </c>
      <c r="M34" t="s">
        <v>738</v>
      </c>
    </row>
    <row r="35" spans="1:13" x14ac:dyDescent="0.45">
      <c r="A35" t="s">
        <v>79</v>
      </c>
      <c r="B35" t="s">
        <v>837</v>
      </c>
      <c r="C35" t="s">
        <v>838</v>
      </c>
      <c r="D35" t="s">
        <v>44</v>
      </c>
      <c r="E35" t="s">
        <v>734</v>
      </c>
      <c r="F35" t="s">
        <v>829</v>
      </c>
      <c r="G35" t="s">
        <v>736</v>
      </c>
      <c r="J35" t="s">
        <v>839</v>
      </c>
      <c r="K35" t="s">
        <v>35</v>
      </c>
      <c r="M35" t="s">
        <v>738</v>
      </c>
    </row>
    <row r="36" spans="1:13" x14ac:dyDescent="0.45">
      <c r="A36" t="s">
        <v>79</v>
      </c>
      <c r="B36" t="s">
        <v>840</v>
      </c>
      <c r="C36" t="s">
        <v>841</v>
      </c>
      <c r="D36" t="s">
        <v>44</v>
      </c>
      <c r="E36" t="s">
        <v>748</v>
      </c>
      <c r="F36" t="s">
        <v>829</v>
      </c>
      <c r="G36" t="s">
        <v>736</v>
      </c>
      <c r="J36" t="s">
        <v>842</v>
      </c>
      <c r="K36" t="s">
        <v>35</v>
      </c>
      <c r="M36" t="s">
        <v>738</v>
      </c>
    </row>
    <row r="37" spans="1:13" x14ac:dyDescent="0.45">
      <c r="A37" t="s">
        <v>79</v>
      </c>
      <c r="B37" t="s">
        <v>843</v>
      </c>
      <c r="C37" t="s">
        <v>844</v>
      </c>
      <c r="D37" t="s">
        <v>44</v>
      </c>
      <c r="E37" t="s">
        <v>845</v>
      </c>
      <c r="F37" t="s">
        <v>829</v>
      </c>
      <c r="G37" t="s">
        <v>736</v>
      </c>
      <c r="J37" t="s">
        <v>846</v>
      </c>
      <c r="K37" t="s">
        <v>35</v>
      </c>
      <c r="M37" t="s">
        <v>738</v>
      </c>
    </row>
    <row r="38" spans="1:13" x14ac:dyDescent="0.45">
      <c r="A38" t="s">
        <v>79</v>
      </c>
      <c r="B38" t="s">
        <v>847</v>
      </c>
      <c r="C38" t="s">
        <v>848</v>
      </c>
      <c r="D38" t="s">
        <v>44</v>
      </c>
      <c r="E38" t="s">
        <v>849</v>
      </c>
      <c r="F38" t="s">
        <v>850</v>
      </c>
      <c r="G38" t="s">
        <v>736</v>
      </c>
      <c r="J38" t="s">
        <v>851</v>
      </c>
      <c r="K38" t="s">
        <v>35</v>
      </c>
      <c r="M38" t="s">
        <v>738</v>
      </c>
    </row>
    <row r="39" spans="1:13" x14ac:dyDescent="0.45">
      <c r="A39" t="s">
        <v>79</v>
      </c>
      <c r="B39" t="s">
        <v>852</v>
      </c>
      <c r="C39" t="s">
        <v>834</v>
      </c>
      <c r="D39" t="s">
        <v>44</v>
      </c>
      <c r="E39" t="s">
        <v>734</v>
      </c>
      <c r="F39" t="s">
        <v>853</v>
      </c>
      <c r="G39" t="s">
        <v>736</v>
      </c>
      <c r="J39" t="s">
        <v>854</v>
      </c>
      <c r="K39" t="s">
        <v>35</v>
      </c>
      <c r="M39" t="s">
        <v>738</v>
      </c>
    </row>
    <row r="40" spans="1:13" x14ac:dyDescent="0.45">
      <c r="A40" t="s">
        <v>79</v>
      </c>
      <c r="B40" t="s">
        <v>144</v>
      </c>
      <c r="C40" t="s">
        <v>855</v>
      </c>
      <c r="D40" t="s">
        <v>44</v>
      </c>
      <c r="E40" t="s">
        <v>745</v>
      </c>
      <c r="F40" t="s">
        <v>853</v>
      </c>
      <c r="G40" t="s">
        <v>736</v>
      </c>
      <c r="J40" t="s">
        <v>856</v>
      </c>
      <c r="K40" t="s">
        <v>35</v>
      </c>
      <c r="M40" t="s">
        <v>738</v>
      </c>
    </row>
    <row r="41" spans="1:13" x14ac:dyDescent="0.45">
      <c r="A41" t="s">
        <v>79</v>
      </c>
      <c r="B41" t="s">
        <v>857</v>
      </c>
      <c r="C41" t="s">
        <v>858</v>
      </c>
      <c r="D41" t="s">
        <v>44</v>
      </c>
      <c r="E41" t="s">
        <v>734</v>
      </c>
      <c r="F41" t="s">
        <v>859</v>
      </c>
      <c r="G41" t="s">
        <v>736</v>
      </c>
      <c r="J41" t="s">
        <v>860</v>
      </c>
      <c r="K41" t="s">
        <v>35</v>
      </c>
      <c r="M41" t="s">
        <v>738</v>
      </c>
    </row>
    <row r="42" spans="1:13" x14ac:dyDescent="0.45">
      <c r="A42" t="s">
        <v>79</v>
      </c>
      <c r="B42" t="s">
        <v>490</v>
      </c>
      <c r="C42" t="s">
        <v>861</v>
      </c>
      <c r="D42" t="s">
        <v>44</v>
      </c>
      <c r="E42" t="s">
        <v>734</v>
      </c>
      <c r="F42" t="s">
        <v>859</v>
      </c>
      <c r="G42" t="s">
        <v>736</v>
      </c>
      <c r="J42" t="s">
        <v>862</v>
      </c>
      <c r="K42" t="s">
        <v>35</v>
      </c>
      <c r="M42" t="s">
        <v>738</v>
      </c>
    </row>
    <row r="43" spans="1:13" x14ac:dyDescent="0.45">
      <c r="A43" t="s">
        <v>79</v>
      </c>
      <c r="B43" t="s">
        <v>766</v>
      </c>
      <c r="C43" t="s">
        <v>863</v>
      </c>
      <c r="D43" t="s">
        <v>44</v>
      </c>
      <c r="E43" t="s">
        <v>734</v>
      </c>
      <c r="F43" t="s">
        <v>859</v>
      </c>
      <c r="G43" t="s">
        <v>736</v>
      </c>
      <c r="J43" t="s">
        <v>864</v>
      </c>
      <c r="K43" t="s">
        <v>35</v>
      </c>
      <c r="M43" t="s">
        <v>738</v>
      </c>
    </row>
    <row r="44" spans="1:13" x14ac:dyDescent="0.45">
      <c r="A44" t="s">
        <v>79</v>
      </c>
      <c r="B44" t="s">
        <v>766</v>
      </c>
      <c r="C44" t="s">
        <v>865</v>
      </c>
      <c r="D44" t="s">
        <v>44</v>
      </c>
      <c r="E44" t="s">
        <v>748</v>
      </c>
      <c r="F44" t="s">
        <v>859</v>
      </c>
      <c r="G44" t="s">
        <v>736</v>
      </c>
      <c r="J44" t="s">
        <v>866</v>
      </c>
      <c r="K44" t="s">
        <v>35</v>
      </c>
      <c r="M44" t="s">
        <v>738</v>
      </c>
    </row>
    <row r="45" spans="1:13" x14ac:dyDescent="0.45">
      <c r="A45" t="s">
        <v>79</v>
      </c>
      <c r="B45" t="s">
        <v>867</v>
      </c>
      <c r="C45" t="s">
        <v>868</v>
      </c>
      <c r="D45" t="s">
        <v>44</v>
      </c>
      <c r="E45" t="s">
        <v>869</v>
      </c>
      <c r="F45" t="s">
        <v>859</v>
      </c>
      <c r="G45" t="s">
        <v>736</v>
      </c>
      <c r="J45" t="s">
        <v>870</v>
      </c>
      <c r="K45" t="s">
        <v>35</v>
      </c>
      <c r="M45" t="s">
        <v>738</v>
      </c>
    </row>
    <row r="46" spans="1:13" x14ac:dyDescent="0.45">
      <c r="A46" t="s">
        <v>79</v>
      </c>
      <c r="B46" t="s">
        <v>871</v>
      </c>
      <c r="C46" t="s">
        <v>872</v>
      </c>
      <c r="D46" t="s">
        <v>44</v>
      </c>
      <c r="E46" t="s">
        <v>816</v>
      </c>
      <c r="F46" t="s">
        <v>859</v>
      </c>
      <c r="G46" t="s">
        <v>736</v>
      </c>
      <c r="J46" t="s">
        <v>873</v>
      </c>
      <c r="K46" t="s">
        <v>35</v>
      </c>
      <c r="M46" t="s">
        <v>738</v>
      </c>
    </row>
    <row r="47" spans="1:13" x14ac:dyDescent="0.45">
      <c r="A47" t="s">
        <v>79</v>
      </c>
      <c r="B47" t="s">
        <v>110</v>
      </c>
      <c r="C47" t="s">
        <v>874</v>
      </c>
      <c r="D47" t="s">
        <v>44</v>
      </c>
      <c r="E47" t="s">
        <v>793</v>
      </c>
      <c r="F47" t="s">
        <v>859</v>
      </c>
      <c r="G47" t="s">
        <v>736</v>
      </c>
      <c r="J47" t="s">
        <v>875</v>
      </c>
      <c r="K47" t="s">
        <v>35</v>
      </c>
      <c r="M47" t="s">
        <v>738</v>
      </c>
    </row>
    <row r="48" spans="1:13" x14ac:dyDescent="0.45">
      <c r="A48" t="s">
        <v>79</v>
      </c>
      <c r="B48" t="s">
        <v>490</v>
      </c>
      <c r="C48" t="s">
        <v>876</v>
      </c>
      <c r="D48" t="s">
        <v>44</v>
      </c>
      <c r="E48" t="s">
        <v>816</v>
      </c>
      <c r="F48" t="s">
        <v>859</v>
      </c>
      <c r="G48" t="s">
        <v>736</v>
      </c>
      <c r="J48" t="s">
        <v>877</v>
      </c>
      <c r="K48" t="s">
        <v>35</v>
      </c>
      <c r="M48" t="s">
        <v>738</v>
      </c>
    </row>
    <row r="49" spans="1:13" x14ac:dyDescent="0.45">
      <c r="A49" t="s">
        <v>79</v>
      </c>
      <c r="B49" t="s">
        <v>766</v>
      </c>
      <c r="C49" t="s">
        <v>878</v>
      </c>
      <c r="D49" t="s">
        <v>44</v>
      </c>
      <c r="E49" t="s">
        <v>734</v>
      </c>
      <c r="F49" t="s">
        <v>859</v>
      </c>
      <c r="G49" t="s">
        <v>736</v>
      </c>
      <c r="J49" t="s">
        <v>879</v>
      </c>
      <c r="K49" t="s">
        <v>35</v>
      </c>
      <c r="M49" t="s">
        <v>738</v>
      </c>
    </row>
    <row r="50" spans="1:13" x14ac:dyDescent="0.45">
      <c r="A50" t="s">
        <v>79</v>
      </c>
      <c r="B50" t="s">
        <v>880</v>
      </c>
      <c r="C50" t="s">
        <v>792</v>
      </c>
      <c r="D50" t="s">
        <v>44</v>
      </c>
      <c r="E50" t="s">
        <v>810</v>
      </c>
      <c r="F50" t="s">
        <v>859</v>
      </c>
      <c r="G50" t="s">
        <v>736</v>
      </c>
      <c r="J50" t="s">
        <v>881</v>
      </c>
      <c r="K50" t="s">
        <v>35</v>
      </c>
      <c r="M50" t="s">
        <v>738</v>
      </c>
    </row>
    <row r="51" spans="1:13" x14ac:dyDescent="0.45">
      <c r="A51" t="s">
        <v>79</v>
      </c>
      <c r="B51" t="s">
        <v>882</v>
      </c>
      <c r="C51" t="s">
        <v>883</v>
      </c>
      <c r="D51" t="s">
        <v>44</v>
      </c>
      <c r="E51" t="s">
        <v>745</v>
      </c>
      <c r="F51" t="s">
        <v>884</v>
      </c>
      <c r="G51" t="s">
        <v>736</v>
      </c>
      <c r="J51" t="s">
        <v>885</v>
      </c>
      <c r="K51" t="s">
        <v>35</v>
      </c>
      <c r="M51" t="s">
        <v>738</v>
      </c>
    </row>
    <row r="52" spans="1:13" x14ac:dyDescent="0.45">
      <c r="A52" t="s">
        <v>79</v>
      </c>
      <c r="B52" t="s">
        <v>490</v>
      </c>
      <c r="C52" t="s">
        <v>886</v>
      </c>
      <c r="D52" t="s">
        <v>44</v>
      </c>
      <c r="E52" t="s">
        <v>734</v>
      </c>
      <c r="F52" t="s">
        <v>884</v>
      </c>
      <c r="G52" t="s">
        <v>736</v>
      </c>
      <c r="J52" t="s">
        <v>887</v>
      </c>
      <c r="K52" t="s">
        <v>35</v>
      </c>
      <c r="M52" t="s">
        <v>738</v>
      </c>
    </row>
    <row r="53" spans="1:13" x14ac:dyDescent="0.45">
      <c r="A53" t="s">
        <v>79</v>
      </c>
      <c r="B53" t="s">
        <v>766</v>
      </c>
      <c r="C53" t="s">
        <v>888</v>
      </c>
      <c r="D53" t="s">
        <v>44</v>
      </c>
      <c r="E53" t="s">
        <v>734</v>
      </c>
      <c r="F53" t="s">
        <v>884</v>
      </c>
      <c r="G53" t="s">
        <v>736</v>
      </c>
      <c r="J53" t="s">
        <v>889</v>
      </c>
      <c r="K53" t="s">
        <v>35</v>
      </c>
      <c r="M53" t="s">
        <v>738</v>
      </c>
    </row>
    <row r="54" spans="1:13" x14ac:dyDescent="0.45">
      <c r="A54" t="s">
        <v>79</v>
      </c>
      <c r="B54" t="s">
        <v>766</v>
      </c>
      <c r="C54" t="s">
        <v>890</v>
      </c>
      <c r="D54" t="s">
        <v>44</v>
      </c>
      <c r="E54" t="s">
        <v>734</v>
      </c>
      <c r="F54" t="s">
        <v>884</v>
      </c>
      <c r="G54" t="s">
        <v>736</v>
      </c>
      <c r="J54" t="s">
        <v>891</v>
      </c>
      <c r="K54" t="s">
        <v>35</v>
      </c>
      <c r="M54" t="s">
        <v>738</v>
      </c>
    </row>
    <row r="55" spans="1:13" x14ac:dyDescent="0.45">
      <c r="A55" t="s">
        <v>79</v>
      </c>
      <c r="B55" t="s">
        <v>766</v>
      </c>
      <c r="C55" t="s">
        <v>892</v>
      </c>
      <c r="D55" t="s">
        <v>44</v>
      </c>
      <c r="E55" t="s">
        <v>734</v>
      </c>
      <c r="F55" t="s">
        <v>884</v>
      </c>
      <c r="G55" t="s">
        <v>736</v>
      </c>
      <c r="J55" t="s">
        <v>893</v>
      </c>
      <c r="K55" t="s">
        <v>35</v>
      </c>
      <c r="M55" t="s">
        <v>738</v>
      </c>
    </row>
    <row r="56" spans="1:13" x14ac:dyDescent="0.45">
      <c r="A56" t="s">
        <v>79</v>
      </c>
      <c r="B56" t="s">
        <v>894</v>
      </c>
      <c r="C56" t="s">
        <v>895</v>
      </c>
      <c r="D56" t="s">
        <v>44</v>
      </c>
      <c r="E56" t="s">
        <v>896</v>
      </c>
      <c r="F56" t="s">
        <v>884</v>
      </c>
      <c r="G56" t="s">
        <v>736</v>
      </c>
      <c r="J56" t="s">
        <v>897</v>
      </c>
      <c r="K56" t="s">
        <v>35</v>
      </c>
      <c r="M56" t="s">
        <v>738</v>
      </c>
    </row>
    <row r="57" spans="1:13" x14ac:dyDescent="0.45">
      <c r="A57" t="s">
        <v>79</v>
      </c>
      <c r="B57" t="s">
        <v>766</v>
      </c>
      <c r="C57" t="s">
        <v>898</v>
      </c>
      <c r="D57" t="s">
        <v>44</v>
      </c>
      <c r="E57" t="s">
        <v>896</v>
      </c>
      <c r="F57" t="s">
        <v>884</v>
      </c>
      <c r="G57" t="s">
        <v>736</v>
      </c>
      <c r="J57" t="s">
        <v>899</v>
      </c>
      <c r="K57" t="s">
        <v>35</v>
      </c>
      <c r="M57" t="s">
        <v>738</v>
      </c>
    </row>
    <row r="58" spans="1:13" x14ac:dyDescent="0.45">
      <c r="A58" t="s">
        <v>79</v>
      </c>
      <c r="B58" t="s">
        <v>900</v>
      </c>
      <c r="C58" t="s">
        <v>901</v>
      </c>
      <c r="D58" t="s">
        <v>44</v>
      </c>
      <c r="E58" t="s">
        <v>745</v>
      </c>
      <c r="F58" t="s">
        <v>884</v>
      </c>
      <c r="G58" t="s">
        <v>736</v>
      </c>
      <c r="J58" t="s">
        <v>902</v>
      </c>
      <c r="K58" t="s">
        <v>35</v>
      </c>
      <c r="M58" t="s">
        <v>738</v>
      </c>
    </row>
    <row r="59" spans="1:13" x14ac:dyDescent="0.45">
      <c r="A59" t="s">
        <v>79</v>
      </c>
      <c r="B59" t="s">
        <v>903</v>
      </c>
      <c r="C59" t="s">
        <v>904</v>
      </c>
      <c r="D59" t="s">
        <v>44</v>
      </c>
      <c r="E59" t="s">
        <v>793</v>
      </c>
      <c r="F59" t="s">
        <v>905</v>
      </c>
      <c r="G59" t="s">
        <v>736</v>
      </c>
      <c r="J59" t="s">
        <v>906</v>
      </c>
      <c r="K59" t="s">
        <v>35</v>
      </c>
      <c r="M59" t="s">
        <v>738</v>
      </c>
    </row>
    <row r="60" spans="1:13" x14ac:dyDescent="0.45">
      <c r="A60" t="s">
        <v>79</v>
      </c>
      <c r="B60" t="s">
        <v>766</v>
      </c>
      <c r="C60" t="s">
        <v>907</v>
      </c>
      <c r="D60" t="s">
        <v>44</v>
      </c>
      <c r="E60" t="s">
        <v>793</v>
      </c>
      <c r="F60" t="s">
        <v>905</v>
      </c>
      <c r="G60" t="s">
        <v>736</v>
      </c>
      <c r="J60" t="s">
        <v>908</v>
      </c>
      <c r="K60" t="s">
        <v>35</v>
      </c>
      <c r="M60" t="s">
        <v>738</v>
      </c>
    </row>
    <row r="61" spans="1:13" x14ac:dyDescent="0.45">
      <c r="A61" t="s">
        <v>79</v>
      </c>
      <c r="B61" t="s">
        <v>766</v>
      </c>
      <c r="C61" t="s">
        <v>909</v>
      </c>
      <c r="D61" t="s">
        <v>44</v>
      </c>
      <c r="E61" t="s">
        <v>793</v>
      </c>
      <c r="F61" t="s">
        <v>905</v>
      </c>
      <c r="G61" t="s">
        <v>736</v>
      </c>
      <c r="J61" t="s">
        <v>910</v>
      </c>
      <c r="K61" t="s">
        <v>35</v>
      </c>
      <c r="M61" t="s">
        <v>738</v>
      </c>
    </row>
    <row r="62" spans="1:13" x14ac:dyDescent="0.45">
      <c r="A62" t="s">
        <v>79</v>
      </c>
      <c r="B62" t="s">
        <v>490</v>
      </c>
      <c r="C62" t="s">
        <v>911</v>
      </c>
      <c r="D62" t="s">
        <v>44</v>
      </c>
      <c r="E62" t="s">
        <v>816</v>
      </c>
      <c r="F62" t="s">
        <v>912</v>
      </c>
      <c r="G62" t="s">
        <v>736</v>
      </c>
      <c r="J62" t="s">
        <v>913</v>
      </c>
      <c r="K62" t="s">
        <v>35</v>
      </c>
      <c r="M62" t="s">
        <v>738</v>
      </c>
    </row>
    <row r="63" spans="1:13" x14ac:dyDescent="0.45">
      <c r="A63" t="s">
        <v>79</v>
      </c>
      <c r="B63" t="s">
        <v>766</v>
      </c>
      <c r="C63" t="s">
        <v>914</v>
      </c>
      <c r="D63" t="s">
        <v>44</v>
      </c>
      <c r="E63" t="s">
        <v>816</v>
      </c>
      <c r="F63" t="s">
        <v>912</v>
      </c>
      <c r="G63" t="s">
        <v>736</v>
      </c>
      <c r="J63" t="s">
        <v>915</v>
      </c>
      <c r="K63" t="s">
        <v>35</v>
      </c>
      <c r="M63" t="s">
        <v>738</v>
      </c>
    </row>
    <row r="64" spans="1:13" x14ac:dyDescent="0.45">
      <c r="A64" t="s">
        <v>79</v>
      </c>
      <c r="B64" t="s">
        <v>916</v>
      </c>
      <c r="C64" t="s">
        <v>917</v>
      </c>
      <c r="D64" t="s">
        <v>44</v>
      </c>
      <c r="E64" t="s">
        <v>734</v>
      </c>
      <c r="F64" t="s">
        <v>912</v>
      </c>
      <c r="G64" t="s">
        <v>736</v>
      </c>
      <c r="J64" t="s">
        <v>918</v>
      </c>
      <c r="K64" t="s">
        <v>35</v>
      </c>
      <c r="M64" t="s">
        <v>738</v>
      </c>
    </row>
    <row r="65" spans="1:13" x14ac:dyDescent="0.45">
      <c r="A65" t="s">
        <v>79</v>
      </c>
      <c r="B65" t="s">
        <v>766</v>
      </c>
      <c r="C65" t="s">
        <v>919</v>
      </c>
      <c r="D65" t="s">
        <v>44</v>
      </c>
      <c r="E65" t="s">
        <v>734</v>
      </c>
      <c r="F65" t="s">
        <v>912</v>
      </c>
      <c r="G65" t="s">
        <v>736</v>
      </c>
      <c r="J65" t="s">
        <v>920</v>
      </c>
      <c r="K65" t="s">
        <v>35</v>
      </c>
      <c r="M65" t="s">
        <v>738</v>
      </c>
    </row>
    <row r="66" spans="1:13" x14ac:dyDescent="0.45">
      <c r="A66" t="s">
        <v>46</v>
      </c>
      <c r="B66" t="s">
        <v>264</v>
      </c>
      <c r="C66" t="s">
        <v>921</v>
      </c>
      <c r="D66" t="s">
        <v>44</v>
      </c>
      <c r="E66" t="s">
        <v>748</v>
      </c>
      <c r="F66" t="s">
        <v>912</v>
      </c>
      <c r="G66" t="s">
        <v>736</v>
      </c>
      <c r="J66" t="s">
        <v>922</v>
      </c>
      <c r="K66" t="s">
        <v>35</v>
      </c>
      <c r="M66" t="s">
        <v>923</v>
      </c>
    </row>
    <row r="67" spans="1:13" x14ac:dyDescent="0.45">
      <c r="A67" t="s">
        <v>79</v>
      </c>
      <c r="B67" t="s">
        <v>766</v>
      </c>
      <c r="C67" t="s">
        <v>924</v>
      </c>
      <c r="D67" t="s">
        <v>44</v>
      </c>
      <c r="E67" t="s">
        <v>835</v>
      </c>
      <c r="F67" t="s">
        <v>912</v>
      </c>
      <c r="G67" t="s">
        <v>736</v>
      </c>
      <c r="J67" t="s">
        <v>925</v>
      </c>
      <c r="K67" t="s">
        <v>35</v>
      </c>
      <c r="M67" t="s">
        <v>738</v>
      </c>
    </row>
    <row r="68" spans="1:13" x14ac:dyDescent="0.45">
      <c r="A68" t="s">
        <v>79</v>
      </c>
      <c r="B68" t="s">
        <v>766</v>
      </c>
      <c r="C68" t="s">
        <v>926</v>
      </c>
      <c r="D68" t="s">
        <v>44</v>
      </c>
      <c r="E68" t="s">
        <v>835</v>
      </c>
      <c r="F68" t="s">
        <v>912</v>
      </c>
      <c r="G68" t="s">
        <v>736</v>
      </c>
      <c r="J68" t="s">
        <v>927</v>
      </c>
      <c r="K68" t="s">
        <v>35</v>
      </c>
      <c r="M68" t="s">
        <v>738</v>
      </c>
    </row>
    <row r="69" spans="1:13" x14ac:dyDescent="0.45">
      <c r="A69" t="s">
        <v>79</v>
      </c>
      <c r="B69" t="s">
        <v>766</v>
      </c>
      <c r="C69" t="s">
        <v>928</v>
      </c>
      <c r="D69" t="s">
        <v>44</v>
      </c>
      <c r="E69" t="s">
        <v>929</v>
      </c>
      <c r="F69" t="s">
        <v>912</v>
      </c>
      <c r="G69" t="s">
        <v>736</v>
      </c>
      <c r="J69" t="s">
        <v>930</v>
      </c>
      <c r="K69" t="s">
        <v>35</v>
      </c>
      <c r="M69" t="s">
        <v>738</v>
      </c>
    </row>
    <row r="70" spans="1:13" x14ac:dyDescent="0.45">
      <c r="A70" t="s">
        <v>79</v>
      </c>
      <c r="B70" t="s">
        <v>766</v>
      </c>
      <c r="C70" t="s">
        <v>931</v>
      </c>
      <c r="D70" t="s">
        <v>44</v>
      </c>
      <c r="E70" t="s">
        <v>748</v>
      </c>
      <c r="F70" t="s">
        <v>912</v>
      </c>
      <c r="G70" t="s">
        <v>736</v>
      </c>
      <c r="J70" t="s">
        <v>932</v>
      </c>
      <c r="K70" t="s">
        <v>35</v>
      </c>
      <c r="M70" t="s">
        <v>738</v>
      </c>
    </row>
    <row r="71" spans="1:13" x14ac:dyDescent="0.45">
      <c r="A71" t="s">
        <v>79</v>
      </c>
      <c r="B71" t="s">
        <v>933</v>
      </c>
      <c r="C71" t="s">
        <v>792</v>
      </c>
      <c r="D71" t="s">
        <v>44</v>
      </c>
      <c r="E71" t="s">
        <v>934</v>
      </c>
      <c r="F71" t="s">
        <v>912</v>
      </c>
      <c r="G71" t="s">
        <v>736</v>
      </c>
      <c r="J71" t="s">
        <v>935</v>
      </c>
      <c r="K71" t="s">
        <v>35</v>
      </c>
      <c r="M71" t="s">
        <v>738</v>
      </c>
    </row>
    <row r="72" spans="1:13" x14ac:dyDescent="0.45">
      <c r="A72" t="s">
        <v>79</v>
      </c>
      <c r="B72" t="s">
        <v>936</v>
      </c>
      <c r="C72" t="s">
        <v>792</v>
      </c>
      <c r="D72" t="s">
        <v>44</v>
      </c>
      <c r="E72" t="s">
        <v>734</v>
      </c>
      <c r="F72" t="s">
        <v>912</v>
      </c>
      <c r="G72" t="s">
        <v>736</v>
      </c>
      <c r="J72" t="s">
        <v>937</v>
      </c>
      <c r="K72" t="s">
        <v>35</v>
      </c>
      <c r="M72" t="s">
        <v>738</v>
      </c>
    </row>
    <row r="73" spans="1:13" x14ac:dyDescent="0.45">
      <c r="A73" t="s">
        <v>79</v>
      </c>
      <c r="B73" t="s">
        <v>938</v>
      </c>
      <c r="C73" t="s">
        <v>792</v>
      </c>
      <c r="D73" t="s">
        <v>44</v>
      </c>
      <c r="E73" t="s">
        <v>734</v>
      </c>
      <c r="F73" t="s">
        <v>912</v>
      </c>
      <c r="G73" t="s">
        <v>736</v>
      </c>
      <c r="J73" t="s">
        <v>939</v>
      </c>
      <c r="K73" t="s">
        <v>35</v>
      </c>
      <c r="M73" t="s">
        <v>738</v>
      </c>
    </row>
    <row r="74" spans="1:13" x14ac:dyDescent="0.45">
      <c r="A74" t="s">
        <v>79</v>
      </c>
      <c r="B74" t="s">
        <v>753</v>
      </c>
      <c r="C74" t="s">
        <v>940</v>
      </c>
      <c r="D74" t="s">
        <v>44</v>
      </c>
      <c r="E74" t="s">
        <v>734</v>
      </c>
      <c r="F74" t="s">
        <v>912</v>
      </c>
      <c r="G74" t="s">
        <v>736</v>
      </c>
      <c r="J74" t="s">
        <v>941</v>
      </c>
      <c r="K74" t="s">
        <v>35</v>
      </c>
      <c r="M74" t="s">
        <v>738</v>
      </c>
    </row>
    <row r="75" spans="1:13" x14ac:dyDescent="0.45">
      <c r="A75" t="s">
        <v>46</v>
      </c>
      <c r="B75" t="s">
        <v>137</v>
      </c>
      <c r="C75" t="s">
        <v>792</v>
      </c>
      <c r="D75" t="s">
        <v>44</v>
      </c>
      <c r="E75" t="s">
        <v>793</v>
      </c>
      <c r="F75" t="s">
        <v>912</v>
      </c>
      <c r="G75" t="s">
        <v>736</v>
      </c>
      <c r="J75" t="s">
        <v>942</v>
      </c>
      <c r="K75" t="s">
        <v>35</v>
      </c>
      <c r="M75" t="s">
        <v>923</v>
      </c>
    </row>
    <row r="76" spans="1:13" x14ac:dyDescent="0.45">
      <c r="A76" t="s">
        <v>79</v>
      </c>
      <c r="B76" t="s">
        <v>133</v>
      </c>
      <c r="C76" t="s">
        <v>943</v>
      </c>
      <c r="D76" t="s">
        <v>44</v>
      </c>
      <c r="E76" t="s">
        <v>745</v>
      </c>
      <c r="F76" t="s">
        <v>944</v>
      </c>
      <c r="G76" t="s">
        <v>736</v>
      </c>
      <c r="J76" t="s">
        <v>945</v>
      </c>
      <c r="K76" t="s">
        <v>35</v>
      </c>
      <c r="M76" t="s">
        <v>738</v>
      </c>
    </row>
    <row r="77" spans="1:13" x14ac:dyDescent="0.45">
      <c r="A77" t="s">
        <v>79</v>
      </c>
      <c r="B77" t="s">
        <v>766</v>
      </c>
      <c r="C77" t="s">
        <v>946</v>
      </c>
      <c r="D77" t="s">
        <v>44</v>
      </c>
      <c r="E77" t="s">
        <v>947</v>
      </c>
      <c r="F77" t="s">
        <v>944</v>
      </c>
      <c r="G77" t="s">
        <v>736</v>
      </c>
      <c r="J77" t="s">
        <v>948</v>
      </c>
      <c r="K77" t="s">
        <v>35</v>
      </c>
      <c r="M77" t="s">
        <v>738</v>
      </c>
    </row>
    <row r="78" spans="1:13" x14ac:dyDescent="0.45">
      <c r="A78" t="s">
        <v>79</v>
      </c>
      <c r="B78" t="s">
        <v>916</v>
      </c>
      <c r="C78" t="s">
        <v>949</v>
      </c>
      <c r="D78" t="s">
        <v>44</v>
      </c>
      <c r="E78" t="s">
        <v>734</v>
      </c>
      <c r="F78" t="s">
        <v>944</v>
      </c>
      <c r="G78" t="s">
        <v>736</v>
      </c>
      <c r="J78" t="s">
        <v>950</v>
      </c>
      <c r="K78" t="s">
        <v>35</v>
      </c>
      <c r="M78" t="s">
        <v>738</v>
      </c>
    </row>
    <row r="79" spans="1:13" x14ac:dyDescent="0.45">
      <c r="A79" t="s">
        <v>79</v>
      </c>
      <c r="B79" t="s">
        <v>766</v>
      </c>
      <c r="C79" t="s">
        <v>951</v>
      </c>
      <c r="D79" t="s">
        <v>44</v>
      </c>
      <c r="E79" t="s">
        <v>734</v>
      </c>
      <c r="F79" t="s">
        <v>944</v>
      </c>
      <c r="G79" t="s">
        <v>736</v>
      </c>
      <c r="J79" t="s">
        <v>952</v>
      </c>
      <c r="K79" t="s">
        <v>35</v>
      </c>
      <c r="M79" t="s">
        <v>738</v>
      </c>
    </row>
    <row r="80" spans="1:13" x14ac:dyDescent="0.45">
      <c r="A80" t="s">
        <v>79</v>
      </c>
      <c r="B80" t="s">
        <v>753</v>
      </c>
      <c r="C80" t="s">
        <v>953</v>
      </c>
      <c r="D80" t="s">
        <v>44</v>
      </c>
      <c r="E80" t="s">
        <v>947</v>
      </c>
      <c r="F80" t="s">
        <v>944</v>
      </c>
      <c r="G80" t="s">
        <v>736</v>
      </c>
      <c r="J80" t="s">
        <v>954</v>
      </c>
      <c r="K80" t="s">
        <v>35</v>
      </c>
      <c r="M80" t="s">
        <v>738</v>
      </c>
    </row>
    <row r="81" spans="1:13" x14ac:dyDescent="0.45">
      <c r="A81" t="s">
        <v>79</v>
      </c>
      <c r="B81" t="s">
        <v>955</v>
      </c>
      <c r="C81" t="s">
        <v>956</v>
      </c>
      <c r="D81" t="s">
        <v>44</v>
      </c>
      <c r="E81" t="s">
        <v>734</v>
      </c>
      <c r="F81" t="s">
        <v>944</v>
      </c>
      <c r="G81" t="s">
        <v>736</v>
      </c>
      <c r="J81" t="s">
        <v>957</v>
      </c>
      <c r="K81" t="s">
        <v>35</v>
      </c>
      <c r="M81" t="s">
        <v>738</v>
      </c>
    </row>
    <row r="82" spans="1:13" x14ac:dyDescent="0.45">
      <c r="A82" t="s">
        <v>79</v>
      </c>
      <c r="B82" t="s">
        <v>766</v>
      </c>
      <c r="C82" t="s">
        <v>958</v>
      </c>
      <c r="D82" t="s">
        <v>44</v>
      </c>
      <c r="E82" t="s">
        <v>734</v>
      </c>
      <c r="F82" t="s">
        <v>944</v>
      </c>
      <c r="G82" t="s">
        <v>736</v>
      </c>
      <c r="J82" t="s">
        <v>959</v>
      </c>
      <c r="K82" t="s">
        <v>35</v>
      </c>
      <c r="M82" t="s">
        <v>738</v>
      </c>
    </row>
    <row r="83" spans="1:13" x14ac:dyDescent="0.45">
      <c r="A83" t="s">
        <v>79</v>
      </c>
      <c r="B83" t="s">
        <v>766</v>
      </c>
      <c r="C83" t="s">
        <v>960</v>
      </c>
      <c r="D83" t="s">
        <v>44</v>
      </c>
      <c r="E83" t="s">
        <v>734</v>
      </c>
      <c r="F83" t="s">
        <v>944</v>
      </c>
      <c r="G83" t="s">
        <v>736</v>
      </c>
      <c r="J83" t="s">
        <v>961</v>
      </c>
      <c r="K83" t="s">
        <v>35</v>
      </c>
      <c r="M83" t="s">
        <v>738</v>
      </c>
    </row>
    <row r="84" spans="1:13" x14ac:dyDescent="0.45">
      <c r="A84" t="s">
        <v>79</v>
      </c>
      <c r="B84" t="s">
        <v>766</v>
      </c>
      <c r="C84" t="s">
        <v>962</v>
      </c>
      <c r="D84" t="s">
        <v>44</v>
      </c>
      <c r="E84" t="s">
        <v>734</v>
      </c>
      <c r="F84" t="s">
        <v>944</v>
      </c>
      <c r="G84" t="s">
        <v>736</v>
      </c>
      <c r="J84" t="s">
        <v>963</v>
      </c>
      <c r="K84" t="s">
        <v>35</v>
      </c>
      <c r="M84" t="s">
        <v>738</v>
      </c>
    </row>
    <row r="85" spans="1:13" x14ac:dyDescent="0.45">
      <c r="A85" t="s">
        <v>79</v>
      </c>
      <c r="B85" t="s">
        <v>840</v>
      </c>
      <c r="C85" t="s">
        <v>964</v>
      </c>
      <c r="D85" t="s">
        <v>44</v>
      </c>
      <c r="E85" t="s">
        <v>748</v>
      </c>
      <c r="F85" t="s">
        <v>944</v>
      </c>
      <c r="G85" t="s">
        <v>736</v>
      </c>
      <c r="J85" t="s">
        <v>965</v>
      </c>
      <c r="K85" t="s">
        <v>35</v>
      </c>
      <c r="M85" t="s">
        <v>738</v>
      </c>
    </row>
    <row r="86" spans="1:13" x14ac:dyDescent="0.45">
      <c r="A86" t="s">
        <v>79</v>
      </c>
      <c r="B86" t="s">
        <v>490</v>
      </c>
      <c r="C86" t="s">
        <v>966</v>
      </c>
      <c r="D86" t="s">
        <v>44</v>
      </c>
      <c r="E86" t="s">
        <v>816</v>
      </c>
      <c r="F86" t="s">
        <v>967</v>
      </c>
      <c r="G86" t="s">
        <v>736</v>
      </c>
      <c r="J86" t="s">
        <v>968</v>
      </c>
      <c r="K86" t="s">
        <v>35</v>
      </c>
      <c r="M86" t="s">
        <v>738</v>
      </c>
    </row>
    <row r="87" spans="1:13" x14ac:dyDescent="0.45">
      <c r="A87" t="s">
        <v>79</v>
      </c>
      <c r="B87" t="s">
        <v>969</v>
      </c>
      <c r="C87" t="s">
        <v>970</v>
      </c>
      <c r="D87" t="s">
        <v>44</v>
      </c>
      <c r="E87" t="s">
        <v>745</v>
      </c>
      <c r="F87" t="s">
        <v>967</v>
      </c>
      <c r="G87" t="s">
        <v>736</v>
      </c>
      <c r="J87" t="s">
        <v>971</v>
      </c>
      <c r="K87" t="s">
        <v>35</v>
      </c>
      <c r="M87" t="s">
        <v>738</v>
      </c>
    </row>
    <row r="88" spans="1:13" x14ac:dyDescent="0.45">
      <c r="A88" t="s">
        <v>79</v>
      </c>
      <c r="B88" t="s">
        <v>972</v>
      </c>
      <c r="C88" t="s">
        <v>973</v>
      </c>
      <c r="D88" t="s">
        <v>44</v>
      </c>
      <c r="E88" t="s">
        <v>974</v>
      </c>
      <c r="F88" t="s">
        <v>967</v>
      </c>
      <c r="G88" t="s">
        <v>736</v>
      </c>
      <c r="J88" t="s">
        <v>975</v>
      </c>
      <c r="K88" t="s">
        <v>35</v>
      </c>
      <c r="M88" t="s">
        <v>738</v>
      </c>
    </row>
    <row r="89" spans="1:13" x14ac:dyDescent="0.45">
      <c r="A89" t="s">
        <v>79</v>
      </c>
      <c r="B89" t="s">
        <v>766</v>
      </c>
      <c r="C89" t="s">
        <v>855</v>
      </c>
      <c r="D89" t="s">
        <v>44</v>
      </c>
      <c r="E89" t="s">
        <v>974</v>
      </c>
      <c r="F89" t="s">
        <v>967</v>
      </c>
      <c r="G89" t="s">
        <v>736</v>
      </c>
      <c r="J89" t="s">
        <v>976</v>
      </c>
      <c r="K89" t="s">
        <v>35</v>
      </c>
      <c r="M89" t="s">
        <v>738</v>
      </c>
    </row>
    <row r="90" spans="1:13" x14ac:dyDescent="0.45">
      <c r="A90" t="s">
        <v>79</v>
      </c>
      <c r="B90" t="s">
        <v>110</v>
      </c>
      <c r="C90" t="s">
        <v>977</v>
      </c>
      <c r="D90" t="s">
        <v>44</v>
      </c>
      <c r="E90" t="s">
        <v>734</v>
      </c>
      <c r="F90" t="s">
        <v>967</v>
      </c>
      <c r="G90" t="s">
        <v>736</v>
      </c>
      <c r="J90" t="s">
        <v>978</v>
      </c>
      <c r="K90" t="s">
        <v>35</v>
      </c>
      <c r="M90" t="s">
        <v>738</v>
      </c>
    </row>
    <row r="91" spans="1:13" x14ac:dyDescent="0.45">
      <c r="A91" t="s">
        <v>79</v>
      </c>
      <c r="B91" t="s">
        <v>264</v>
      </c>
      <c r="C91" t="s">
        <v>979</v>
      </c>
      <c r="D91" t="s">
        <v>44</v>
      </c>
      <c r="E91" t="s">
        <v>748</v>
      </c>
      <c r="F91" t="s">
        <v>967</v>
      </c>
      <c r="G91" t="s">
        <v>736</v>
      </c>
      <c r="J91" t="s">
        <v>980</v>
      </c>
      <c r="K91" t="s">
        <v>35</v>
      </c>
      <c r="M91" t="s">
        <v>738</v>
      </c>
    </row>
    <row r="92" spans="1:13" x14ac:dyDescent="0.45">
      <c r="A92" t="s">
        <v>79</v>
      </c>
      <c r="B92" t="s">
        <v>766</v>
      </c>
      <c r="C92" t="s">
        <v>981</v>
      </c>
      <c r="D92" t="s">
        <v>44</v>
      </c>
      <c r="E92" t="s">
        <v>748</v>
      </c>
      <c r="F92" t="s">
        <v>967</v>
      </c>
      <c r="G92" t="s">
        <v>736</v>
      </c>
      <c r="J92" t="s">
        <v>982</v>
      </c>
      <c r="K92" t="s">
        <v>35</v>
      </c>
      <c r="M92" t="s">
        <v>738</v>
      </c>
    </row>
    <row r="93" spans="1:13" x14ac:dyDescent="0.45">
      <c r="A93" t="s">
        <v>79</v>
      </c>
      <c r="B93" t="s">
        <v>983</v>
      </c>
      <c r="C93" t="s">
        <v>984</v>
      </c>
      <c r="D93" t="s">
        <v>44</v>
      </c>
      <c r="E93" t="s">
        <v>745</v>
      </c>
      <c r="F93" t="s">
        <v>967</v>
      </c>
      <c r="G93" t="s">
        <v>736</v>
      </c>
      <c r="J93" t="s">
        <v>985</v>
      </c>
      <c r="K93" t="s">
        <v>35</v>
      </c>
      <c r="M93" t="s">
        <v>738</v>
      </c>
    </row>
    <row r="94" spans="1:13" x14ac:dyDescent="0.45">
      <c r="A94" t="s">
        <v>79</v>
      </c>
      <c r="B94" t="s">
        <v>766</v>
      </c>
      <c r="C94" t="s">
        <v>986</v>
      </c>
      <c r="D94" t="s">
        <v>44</v>
      </c>
      <c r="E94" t="s">
        <v>734</v>
      </c>
      <c r="F94" t="s">
        <v>967</v>
      </c>
      <c r="G94" t="s">
        <v>736</v>
      </c>
      <c r="J94" t="s">
        <v>987</v>
      </c>
      <c r="K94" t="s">
        <v>35</v>
      </c>
      <c r="M94" t="s">
        <v>738</v>
      </c>
    </row>
    <row r="95" spans="1:13" x14ac:dyDescent="0.45">
      <c r="A95" t="s">
        <v>79</v>
      </c>
      <c r="B95" t="s">
        <v>766</v>
      </c>
      <c r="C95" t="s">
        <v>792</v>
      </c>
      <c r="D95" t="s">
        <v>44</v>
      </c>
      <c r="E95" t="s">
        <v>734</v>
      </c>
      <c r="F95" t="s">
        <v>967</v>
      </c>
      <c r="G95" t="s">
        <v>736</v>
      </c>
      <c r="J95" t="s">
        <v>988</v>
      </c>
      <c r="K95" t="s">
        <v>35</v>
      </c>
      <c r="M95" t="s">
        <v>738</v>
      </c>
    </row>
    <row r="96" spans="1:13" x14ac:dyDescent="0.45">
      <c r="A96" t="s">
        <v>79</v>
      </c>
      <c r="B96" t="s">
        <v>766</v>
      </c>
      <c r="C96" t="s">
        <v>989</v>
      </c>
      <c r="D96" t="s">
        <v>44</v>
      </c>
      <c r="E96" t="s">
        <v>734</v>
      </c>
      <c r="F96" t="s">
        <v>967</v>
      </c>
      <c r="G96" t="s">
        <v>736</v>
      </c>
      <c r="J96" t="s">
        <v>990</v>
      </c>
      <c r="K96" t="s">
        <v>35</v>
      </c>
      <c r="M96" t="s">
        <v>738</v>
      </c>
    </row>
    <row r="97" spans="1:13" x14ac:dyDescent="0.45">
      <c r="A97" t="s">
        <v>79</v>
      </c>
      <c r="B97" t="s">
        <v>766</v>
      </c>
      <c r="C97" t="s">
        <v>991</v>
      </c>
      <c r="D97" t="s">
        <v>44</v>
      </c>
      <c r="E97" t="s">
        <v>734</v>
      </c>
      <c r="F97" t="s">
        <v>967</v>
      </c>
      <c r="G97" t="s">
        <v>736</v>
      </c>
      <c r="J97" t="s">
        <v>992</v>
      </c>
      <c r="K97" t="s">
        <v>35</v>
      </c>
      <c r="M97" t="s">
        <v>738</v>
      </c>
    </row>
    <row r="98" spans="1:13" x14ac:dyDescent="0.45">
      <c r="A98" t="s">
        <v>79</v>
      </c>
      <c r="B98" t="s">
        <v>766</v>
      </c>
      <c r="C98" t="s">
        <v>993</v>
      </c>
      <c r="D98" t="s">
        <v>44</v>
      </c>
      <c r="E98" t="s">
        <v>734</v>
      </c>
      <c r="F98" t="s">
        <v>967</v>
      </c>
      <c r="G98" t="s">
        <v>736</v>
      </c>
      <c r="J98" t="s">
        <v>994</v>
      </c>
      <c r="K98" t="s">
        <v>35</v>
      </c>
      <c r="M98" t="s">
        <v>738</v>
      </c>
    </row>
    <row r="99" spans="1:13" x14ac:dyDescent="0.45">
      <c r="A99" t="s">
        <v>79</v>
      </c>
      <c r="B99" t="s">
        <v>766</v>
      </c>
      <c r="C99" t="s">
        <v>956</v>
      </c>
      <c r="D99" t="s">
        <v>44</v>
      </c>
      <c r="E99" t="s">
        <v>745</v>
      </c>
      <c r="F99" t="s">
        <v>967</v>
      </c>
      <c r="G99" t="s">
        <v>736</v>
      </c>
      <c r="J99" t="s">
        <v>995</v>
      </c>
      <c r="K99" t="s">
        <v>35</v>
      </c>
      <c r="M99" t="s">
        <v>738</v>
      </c>
    </row>
    <row r="100" spans="1:13" x14ac:dyDescent="0.45">
      <c r="A100" t="s">
        <v>79</v>
      </c>
      <c r="B100" t="s">
        <v>996</v>
      </c>
      <c r="C100" t="s">
        <v>997</v>
      </c>
      <c r="D100" t="s">
        <v>44</v>
      </c>
      <c r="E100" t="s">
        <v>734</v>
      </c>
      <c r="F100" t="s">
        <v>967</v>
      </c>
      <c r="G100" t="s">
        <v>736</v>
      </c>
      <c r="J100" t="s">
        <v>998</v>
      </c>
      <c r="K100" t="s">
        <v>35</v>
      </c>
      <c r="M100" t="s">
        <v>738</v>
      </c>
    </row>
    <row r="101" spans="1:13" x14ac:dyDescent="0.45">
      <c r="A101" t="s">
        <v>79</v>
      </c>
      <c r="B101" t="s">
        <v>174</v>
      </c>
      <c r="C101" t="s">
        <v>999</v>
      </c>
      <c r="D101" t="s">
        <v>44</v>
      </c>
      <c r="E101" t="s">
        <v>748</v>
      </c>
      <c r="F101" t="s">
        <v>967</v>
      </c>
      <c r="G101" t="s">
        <v>736</v>
      </c>
      <c r="J101" t="s">
        <v>1000</v>
      </c>
      <c r="K101" t="s">
        <v>35</v>
      </c>
      <c r="M101" t="s">
        <v>738</v>
      </c>
    </row>
    <row r="102" spans="1:13" x14ac:dyDescent="0.45">
      <c r="A102" t="s">
        <v>79</v>
      </c>
      <c r="B102" t="s">
        <v>753</v>
      </c>
      <c r="C102" t="s">
        <v>1001</v>
      </c>
      <c r="D102" t="s">
        <v>44</v>
      </c>
      <c r="E102" t="s">
        <v>1002</v>
      </c>
      <c r="F102" t="s">
        <v>967</v>
      </c>
      <c r="G102" t="s">
        <v>736</v>
      </c>
      <c r="J102" t="s">
        <v>1003</v>
      </c>
      <c r="K102" t="s">
        <v>35</v>
      </c>
      <c r="M102" t="s">
        <v>738</v>
      </c>
    </row>
    <row r="103" spans="1:13" x14ac:dyDescent="0.45">
      <c r="A103" t="s">
        <v>79</v>
      </c>
      <c r="B103" t="s">
        <v>766</v>
      </c>
      <c r="C103" t="s">
        <v>1004</v>
      </c>
      <c r="D103" t="s">
        <v>44</v>
      </c>
      <c r="E103" t="s">
        <v>734</v>
      </c>
      <c r="F103" t="s">
        <v>967</v>
      </c>
      <c r="G103" t="s">
        <v>736</v>
      </c>
      <c r="J103" t="s">
        <v>1005</v>
      </c>
      <c r="K103" t="s">
        <v>35</v>
      </c>
      <c r="M103" t="s">
        <v>738</v>
      </c>
    </row>
    <row r="104" spans="1:13" x14ac:dyDescent="0.45">
      <c r="A104" t="s">
        <v>79</v>
      </c>
      <c r="B104" t="s">
        <v>766</v>
      </c>
      <c r="C104" t="s">
        <v>1006</v>
      </c>
      <c r="D104" t="s">
        <v>44</v>
      </c>
      <c r="E104" t="s">
        <v>734</v>
      </c>
      <c r="F104" t="s">
        <v>967</v>
      </c>
      <c r="G104" t="s">
        <v>736</v>
      </c>
      <c r="J104" t="s">
        <v>1007</v>
      </c>
      <c r="K104" t="s">
        <v>35</v>
      </c>
      <c r="M104" t="s">
        <v>738</v>
      </c>
    </row>
    <row r="105" spans="1:13" x14ac:dyDescent="0.45">
      <c r="A105" t="s">
        <v>79</v>
      </c>
      <c r="B105" t="s">
        <v>766</v>
      </c>
      <c r="C105" t="s">
        <v>1008</v>
      </c>
      <c r="D105" t="s">
        <v>44</v>
      </c>
      <c r="E105" t="s">
        <v>734</v>
      </c>
      <c r="F105" t="s">
        <v>967</v>
      </c>
      <c r="G105" t="s">
        <v>736</v>
      </c>
      <c r="J105" t="s">
        <v>1009</v>
      </c>
      <c r="K105" t="s">
        <v>35</v>
      </c>
      <c r="M105" t="s">
        <v>738</v>
      </c>
    </row>
    <row r="106" spans="1:13" x14ac:dyDescent="0.45">
      <c r="A106" t="s">
        <v>79</v>
      </c>
      <c r="B106" t="s">
        <v>1010</v>
      </c>
      <c r="C106" t="s">
        <v>1011</v>
      </c>
      <c r="D106" t="s">
        <v>44</v>
      </c>
      <c r="E106" t="s">
        <v>1012</v>
      </c>
      <c r="F106" t="s">
        <v>1013</v>
      </c>
      <c r="G106" t="s">
        <v>736</v>
      </c>
      <c r="J106" t="s">
        <v>1014</v>
      </c>
      <c r="K106" t="s">
        <v>35</v>
      </c>
      <c r="M106" t="s">
        <v>738</v>
      </c>
    </row>
    <row r="107" spans="1:13" x14ac:dyDescent="0.45">
      <c r="A107" t="s">
        <v>79</v>
      </c>
      <c r="B107" t="s">
        <v>71</v>
      </c>
      <c r="C107" t="s">
        <v>1015</v>
      </c>
      <c r="D107" t="s">
        <v>44</v>
      </c>
      <c r="E107" t="s">
        <v>745</v>
      </c>
      <c r="F107" t="s">
        <v>1016</v>
      </c>
      <c r="G107" t="s">
        <v>736</v>
      </c>
      <c r="J107" t="s">
        <v>73</v>
      </c>
      <c r="K107" t="s">
        <v>35</v>
      </c>
      <c r="M107" t="s">
        <v>738</v>
      </c>
    </row>
    <row r="108" spans="1:13" x14ac:dyDescent="0.45">
      <c r="A108" t="s">
        <v>79</v>
      </c>
      <c r="B108" t="s">
        <v>766</v>
      </c>
      <c r="C108" t="s">
        <v>1017</v>
      </c>
      <c r="D108" t="s">
        <v>44</v>
      </c>
      <c r="E108" t="s">
        <v>745</v>
      </c>
      <c r="F108" t="s">
        <v>1016</v>
      </c>
      <c r="G108" t="s">
        <v>736</v>
      </c>
      <c r="J108" t="s">
        <v>1018</v>
      </c>
      <c r="K108" t="s">
        <v>35</v>
      </c>
      <c r="M108" t="s">
        <v>738</v>
      </c>
    </row>
    <row r="109" spans="1:13" x14ac:dyDescent="0.45">
      <c r="A109" t="s">
        <v>79</v>
      </c>
      <c r="B109" t="s">
        <v>1019</v>
      </c>
      <c r="C109" t="s">
        <v>1020</v>
      </c>
      <c r="D109" t="s">
        <v>44</v>
      </c>
      <c r="E109" t="s">
        <v>869</v>
      </c>
      <c r="F109" t="s">
        <v>1016</v>
      </c>
      <c r="G109" t="s">
        <v>736</v>
      </c>
      <c r="J109" t="s">
        <v>1021</v>
      </c>
      <c r="K109" t="s">
        <v>35</v>
      </c>
      <c r="M109" t="s">
        <v>738</v>
      </c>
    </row>
    <row r="110" spans="1:13" x14ac:dyDescent="0.45">
      <c r="A110" t="s">
        <v>79</v>
      </c>
      <c r="B110" t="s">
        <v>766</v>
      </c>
      <c r="C110" t="s">
        <v>1022</v>
      </c>
      <c r="D110" t="s">
        <v>44</v>
      </c>
      <c r="E110" t="s">
        <v>869</v>
      </c>
      <c r="F110" t="s">
        <v>1016</v>
      </c>
      <c r="G110" t="s">
        <v>736</v>
      </c>
      <c r="J110" t="s">
        <v>1023</v>
      </c>
      <c r="K110" t="s">
        <v>35</v>
      </c>
      <c r="M110" t="s">
        <v>738</v>
      </c>
    </row>
    <row r="111" spans="1:13" x14ac:dyDescent="0.45">
      <c r="A111" t="s">
        <v>79</v>
      </c>
      <c r="B111" t="s">
        <v>1024</v>
      </c>
      <c r="C111" t="s">
        <v>1025</v>
      </c>
      <c r="D111" t="s">
        <v>44</v>
      </c>
      <c r="E111" t="s">
        <v>745</v>
      </c>
      <c r="F111" t="s">
        <v>1016</v>
      </c>
      <c r="G111" t="s">
        <v>736</v>
      </c>
      <c r="J111" t="s">
        <v>1026</v>
      </c>
      <c r="K111" t="s">
        <v>35</v>
      </c>
      <c r="M111" t="s">
        <v>738</v>
      </c>
    </row>
    <row r="112" spans="1:13" x14ac:dyDescent="0.45">
      <c r="A112" t="s">
        <v>79</v>
      </c>
      <c r="B112" t="s">
        <v>1027</v>
      </c>
      <c r="C112" t="s">
        <v>1028</v>
      </c>
      <c r="D112" t="s">
        <v>44</v>
      </c>
      <c r="E112" t="s">
        <v>810</v>
      </c>
      <c r="F112" t="s">
        <v>1016</v>
      </c>
      <c r="G112" t="s">
        <v>736</v>
      </c>
      <c r="J112" t="s">
        <v>1029</v>
      </c>
      <c r="K112" t="s">
        <v>35</v>
      </c>
      <c r="M112" t="s">
        <v>738</v>
      </c>
    </row>
    <row r="113" spans="1:13" x14ac:dyDescent="0.45">
      <c r="A113" t="s">
        <v>79</v>
      </c>
      <c r="B113" t="s">
        <v>1030</v>
      </c>
      <c r="C113" t="s">
        <v>1031</v>
      </c>
      <c r="D113" t="s">
        <v>44</v>
      </c>
      <c r="E113" t="s">
        <v>745</v>
      </c>
      <c r="F113" t="s">
        <v>1016</v>
      </c>
      <c r="G113" t="s">
        <v>736</v>
      </c>
      <c r="J113" t="s">
        <v>1032</v>
      </c>
      <c r="K113" t="s">
        <v>35</v>
      </c>
      <c r="M113" t="s">
        <v>738</v>
      </c>
    </row>
    <row r="114" spans="1:13" x14ac:dyDescent="0.45">
      <c r="A114" t="s">
        <v>79</v>
      </c>
      <c r="B114" t="s">
        <v>174</v>
      </c>
      <c r="C114" t="s">
        <v>1033</v>
      </c>
      <c r="D114" t="s">
        <v>44</v>
      </c>
      <c r="E114" t="s">
        <v>748</v>
      </c>
      <c r="F114" t="s">
        <v>1016</v>
      </c>
      <c r="G114" t="s">
        <v>736</v>
      </c>
      <c r="J114" t="s">
        <v>1034</v>
      </c>
      <c r="K114" t="s">
        <v>35</v>
      </c>
      <c r="M114" t="s">
        <v>738</v>
      </c>
    </row>
    <row r="115" spans="1:13" x14ac:dyDescent="0.45">
      <c r="A115" t="s">
        <v>79</v>
      </c>
      <c r="B115" t="s">
        <v>1035</v>
      </c>
      <c r="C115" t="s">
        <v>1022</v>
      </c>
      <c r="D115" t="s">
        <v>44</v>
      </c>
      <c r="E115" t="s">
        <v>793</v>
      </c>
      <c r="F115" t="s">
        <v>1036</v>
      </c>
      <c r="G115" t="s">
        <v>736</v>
      </c>
      <c r="J115" t="s">
        <v>1037</v>
      </c>
      <c r="K115" t="s">
        <v>35</v>
      </c>
      <c r="M115" t="s">
        <v>738</v>
      </c>
    </row>
    <row r="116" spans="1:13" x14ac:dyDescent="0.45">
      <c r="A116" t="s">
        <v>79</v>
      </c>
      <c r="B116" t="s">
        <v>766</v>
      </c>
      <c r="C116" t="s">
        <v>1038</v>
      </c>
      <c r="D116" t="s">
        <v>44</v>
      </c>
      <c r="E116" t="s">
        <v>793</v>
      </c>
      <c r="F116" t="s">
        <v>1036</v>
      </c>
      <c r="G116" t="s">
        <v>736</v>
      </c>
      <c r="J116" t="s">
        <v>1039</v>
      </c>
      <c r="K116" t="s">
        <v>35</v>
      </c>
      <c r="M116" t="s">
        <v>738</v>
      </c>
    </row>
    <row r="117" spans="1:13" x14ac:dyDescent="0.45">
      <c r="A117" t="s">
        <v>79</v>
      </c>
      <c r="B117" t="s">
        <v>1040</v>
      </c>
      <c r="C117" t="s">
        <v>1041</v>
      </c>
      <c r="D117" t="s">
        <v>44</v>
      </c>
      <c r="E117" t="s">
        <v>793</v>
      </c>
      <c r="F117" t="s">
        <v>1036</v>
      </c>
      <c r="G117" t="s">
        <v>736</v>
      </c>
      <c r="J117" t="s">
        <v>1042</v>
      </c>
      <c r="K117" t="s">
        <v>35</v>
      </c>
      <c r="M117" t="s">
        <v>738</v>
      </c>
    </row>
    <row r="118" spans="1:13" x14ac:dyDescent="0.45">
      <c r="A118" t="s">
        <v>79</v>
      </c>
      <c r="B118" t="s">
        <v>1043</v>
      </c>
      <c r="C118" t="s">
        <v>1044</v>
      </c>
      <c r="D118" t="s">
        <v>44</v>
      </c>
      <c r="E118" t="s">
        <v>734</v>
      </c>
      <c r="F118" t="s">
        <v>1045</v>
      </c>
      <c r="G118" t="s">
        <v>736</v>
      </c>
      <c r="J118" t="s">
        <v>1046</v>
      </c>
      <c r="K118" t="s">
        <v>35</v>
      </c>
      <c r="M118" t="s">
        <v>738</v>
      </c>
    </row>
    <row r="119" spans="1:13" x14ac:dyDescent="0.45">
      <c r="A119" t="s">
        <v>79</v>
      </c>
      <c r="B119" t="s">
        <v>766</v>
      </c>
      <c r="C119" t="s">
        <v>1047</v>
      </c>
      <c r="D119" t="s">
        <v>44</v>
      </c>
      <c r="E119" t="s">
        <v>734</v>
      </c>
      <c r="F119" t="s">
        <v>1045</v>
      </c>
      <c r="G119" t="s">
        <v>736</v>
      </c>
      <c r="J119" t="s">
        <v>1048</v>
      </c>
      <c r="K119" t="s">
        <v>35</v>
      </c>
      <c r="M119" t="s">
        <v>738</v>
      </c>
    </row>
    <row r="120" spans="1:13" x14ac:dyDescent="0.45">
      <c r="A120" t="s">
        <v>79</v>
      </c>
      <c r="B120" t="s">
        <v>1049</v>
      </c>
      <c r="C120" t="s">
        <v>1050</v>
      </c>
      <c r="D120" t="s">
        <v>44</v>
      </c>
      <c r="E120" t="s">
        <v>748</v>
      </c>
      <c r="F120" t="s">
        <v>1045</v>
      </c>
      <c r="G120" t="s">
        <v>736</v>
      </c>
      <c r="J120" t="s">
        <v>1051</v>
      </c>
      <c r="K120" t="s">
        <v>35</v>
      </c>
      <c r="M120" t="s">
        <v>738</v>
      </c>
    </row>
    <row r="121" spans="1:13" x14ac:dyDescent="0.45">
      <c r="A121" t="s">
        <v>79</v>
      </c>
      <c r="B121" t="s">
        <v>766</v>
      </c>
      <c r="C121" t="s">
        <v>1052</v>
      </c>
      <c r="D121" t="s">
        <v>44</v>
      </c>
      <c r="E121" t="s">
        <v>1053</v>
      </c>
      <c r="F121" t="s">
        <v>1045</v>
      </c>
      <c r="G121" t="s">
        <v>736</v>
      </c>
      <c r="J121" t="s">
        <v>1054</v>
      </c>
      <c r="K121" t="s">
        <v>35</v>
      </c>
      <c r="M121" t="s">
        <v>738</v>
      </c>
    </row>
    <row r="122" spans="1:13" x14ac:dyDescent="0.45">
      <c r="A122" t="s">
        <v>79</v>
      </c>
      <c r="B122" t="s">
        <v>766</v>
      </c>
      <c r="C122" t="s">
        <v>1050</v>
      </c>
      <c r="D122" t="s">
        <v>44</v>
      </c>
      <c r="E122" t="s">
        <v>748</v>
      </c>
      <c r="F122" t="s">
        <v>1045</v>
      </c>
      <c r="G122" t="s">
        <v>736</v>
      </c>
      <c r="J122" t="s">
        <v>1055</v>
      </c>
      <c r="K122" t="s">
        <v>35</v>
      </c>
      <c r="M122" t="s">
        <v>738</v>
      </c>
    </row>
    <row r="123" spans="1:13" x14ac:dyDescent="0.45">
      <c r="A123" t="s">
        <v>79</v>
      </c>
      <c r="B123" t="s">
        <v>1010</v>
      </c>
      <c r="C123" t="s">
        <v>1056</v>
      </c>
      <c r="D123" t="s">
        <v>44</v>
      </c>
      <c r="E123" t="s">
        <v>1057</v>
      </c>
      <c r="F123" t="s">
        <v>1045</v>
      </c>
      <c r="G123" t="s">
        <v>736</v>
      </c>
      <c r="J123" t="s">
        <v>1058</v>
      </c>
      <c r="K123" t="s">
        <v>35</v>
      </c>
      <c r="M123" t="s">
        <v>738</v>
      </c>
    </row>
    <row r="124" spans="1:13" x14ac:dyDescent="0.45">
      <c r="A124" t="s">
        <v>79</v>
      </c>
      <c r="B124" t="s">
        <v>1049</v>
      </c>
      <c r="C124" t="s">
        <v>1052</v>
      </c>
      <c r="D124" t="s">
        <v>44</v>
      </c>
      <c r="E124" t="s">
        <v>748</v>
      </c>
      <c r="F124" t="s">
        <v>1045</v>
      </c>
      <c r="G124" t="s">
        <v>736</v>
      </c>
      <c r="J124" t="s">
        <v>1059</v>
      </c>
      <c r="K124" t="s">
        <v>35</v>
      </c>
      <c r="M124" t="s">
        <v>738</v>
      </c>
    </row>
    <row r="125" spans="1:13" x14ac:dyDescent="0.45">
      <c r="A125" t="s">
        <v>79</v>
      </c>
      <c r="B125" t="s">
        <v>766</v>
      </c>
      <c r="C125" t="s">
        <v>1060</v>
      </c>
      <c r="D125" t="s">
        <v>44</v>
      </c>
      <c r="E125" t="s">
        <v>810</v>
      </c>
      <c r="F125" t="s">
        <v>1045</v>
      </c>
      <c r="G125" t="s">
        <v>736</v>
      </c>
      <c r="J125" t="s">
        <v>1061</v>
      </c>
      <c r="K125" t="s">
        <v>35</v>
      </c>
      <c r="M125" t="s">
        <v>738</v>
      </c>
    </row>
    <row r="126" spans="1:13" x14ac:dyDescent="0.45">
      <c r="A126" t="s">
        <v>46</v>
      </c>
      <c r="B126" t="s">
        <v>1010</v>
      </c>
      <c r="C126" t="s">
        <v>883</v>
      </c>
      <c r="D126" t="s">
        <v>44</v>
      </c>
      <c r="E126" t="s">
        <v>1062</v>
      </c>
      <c r="F126" t="s">
        <v>1063</v>
      </c>
      <c r="G126" t="s">
        <v>736</v>
      </c>
      <c r="J126" t="s">
        <v>1064</v>
      </c>
      <c r="K126" t="s">
        <v>35</v>
      </c>
      <c r="M126" t="s">
        <v>923</v>
      </c>
    </row>
    <row r="127" spans="1:13" x14ac:dyDescent="0.45">
      <c r="A127" t="s">
        <v>79</v>
      </c>
      <c r="B127" t="s">
        <v>766</v>
      </c>
      <c r="C127" t="s">
        <v>1065</v>
      </c>
      <c r="D127" t="s">
        <v>44</v>
      </c>
      <c r="E127" t="s">
        <v>816</v>
      </c>
      <c r="F127" t="s">
        <v>1063</v>
      </c>
      <c r="G127" t="s">
        <v>736</v>
      </c>
      <c r="J127" t="s">
        <v>1066</v>
      </c>
      <c r="K127" t="s">
        <v>35</v>
      </c>
      <c r="M127" t="s">
        <v>738</v>
      </c>
    </row>
    <row r="128" spans="1:13" x14ac:dyDescent="0.45">
      <c r="A128" t="s">
        <v>46</v>
      </c>
      <c r="B128" t="s">
        <v>1067</v>
      </c>
      <c r="C128" t="s">
        <v>926</v>
      </c>
      <c r="D128" t="s">
        <v>44</v>
      </c>
      <c r="E128" t="s">
        <v>1068</v>
      </c>
      <c r="F128" t="s">
        <v>1063</v>
      </c>
      <c r="G128" t="s">
        <v>736</v>
      </c>
      <c r="J128" t="s">
        <v>1069</v>
      </c>
      <c r="K128" t="s">
        <v>35</v>
      </c>
      <c r="M128" t="s">
        <v>923</v>
      </c>
    </row>
    <row r="129" spans="1:13" x14ac:dyDescent="0.45">
      <c r="A129" t="s">
        <v>79</v>
      </c>
      <c r="B129" t="s">
        <v>1070</v>
      </c>
      <c r="C129" t="s">
        <v>1071</v>
      </c>
      <c r="D129" t="s">
        <v>44</v>
      </c>
      <c r="E129" t="s">
        <v>1072</v>
      </c>
      <c r="F129" t="s">
        <v>1063</v>
      </c>
      <c r="G129" t="s">
        <v>736</v>
      </c>
      <c r="J129" t="s">
        <v>1073</v>
      </c>
      <c r="K129" t="s">
        <v>35</v>
      </c>
      <c r="M129" t="s">
        <v>738</v>
      </c>
    </row>
    <row r="130" spans="1:13" x14ac:dyDescent="0.45">
      <c r="A130" t="s">
        <v>79</v>
      </c>
      <c r="B130" t="s">
        <v>766</v>
      </c>
      <c r="C130" t="s">
        <v>1074</v>
      </c>
      <c r="D130" t="s">
        <v>44</v>
      </c>
      <c r="E130" t="s">
        <v>748</v>
      </c>
      <c r="F130" t="s">
        <v>1063</v>
      </c>
      <c r="G130" t="s">
        <v>736</v>
      </c>
      <c r="J130" t="s">
        <v>1075</v>
      </c>
      <c r="K130" t="s">
        <v>35</v>
      </c>
      <c r="M130" t="s">
        <v>738</v>
      </c>
    </row>
    <row r="131" spans="1:13" x14ac:dyDescent="0.45">
      <c r="A131" t="s">
        <v>79</v>
      </c>
      <c r="B131" t="s">
        <v>766</v>
      </c>
      <c r="C131" t="s">
        <v>883</v>
      </c>
      <c r="D131" t="s">
        <v>44</v>
      </c>
      <c r="E131" t="s">
        <v>1076</v>
      </c>
      <c r="F131" t="s">
        <v>1063</v>
      </c>
      <c r="G131" t="s">
        <v>736</v>
      </c>
      <c r="J131" t="s">
        <v>1077</v>
      </c>
      <c r="K131" t="s">
        <v>35</v>
      </c>
      <c r="M131" t="s">
        <v>738</v>
      </c>
    </row>
    <row r="132" spans="1:13" x14ac:dyDescent="0.45">
      <c r="A132" t="s">
        <v>79</v>
      </c>
      <c r="B132" t="s">
        <v>1078</v>
      </c>
      <c r="C132" t="s">
        <v>1079</v>
      </c>
      <c r="D132" t="s">
        <v>44</v>
      </c>
      <c r="E132" t="s">
        <v>748</v>
      </c>
      <c r="F132" t="s">
        <v>1063</v>
      </c>
      <c r="G132" t="s">
        <v>736</v>
      </c>
      <c r="J132" t="s">
        <v>1080</v>
      </c>
      <c r="K132" t="s">
        <v>35</v>
      </c>
      <c r="M132" t="s">
        <v>738</v>
      </c>
    </row>
    <row r="133" spans="1:13" x14ac:dyDescent="0.45">
      <c r="A133" t="s">
        <v>79</v>
      </c>
      <c r="B133" t="s">
        <v>1049</v>
      </c>
      <c r="C133" t="s">
        <v>834</v>
      </c>
      <c r="D133" t="s">
        <v>44</v>
      </c>
      <c r="E133" t="s">
        <v>748</v>
      </c>
      <c r="F133" t="s">
        <v>1063</v>
      </c>
      <c r="G133" t="s">
        <v>736</v>
      </c>
      <c r="J133" t="s">
        <v>1081</v>
      </c>
      <c r="K133" t="s">
        <v>35</v>
      </c>
      <c r="M133" t="s">
        <v>738</v>
      </c>
    </row>
    <row r="134" spans="1:13" x14ac:dyDescent="0.45">
      <c r="A134" t="s">
        <v>79</v>
      </c>
      <c r="B134" t="s">
        <v>1082</v>
      </c>
      <c r="C134" t="s">
        <v>792</v>
      </c>
      <c r="D134" t="s">
        <v>44</v>
      </c>
      <c r="E134" t="s">
        <v>1083</v>
      </c>
      <c r="F134" t="s">
        <v>1063</v>
      </c>
      <c r="G134" t="s">
        <v>736</v>
      </c>
      <c r="J134" t="s">
        <v>1084</v>
      </c>
      <c r="K134" t="s">
        <v>35</v>
      </c>
      <c r="M134" t="s">
        <v>738</v>
      </c>
    </row>
    <row r="135" spans="1:13" x14ac:dyDescent="0.45">
      <c r="A135" t="s">
        <v>79</v>
      </c>
      <c r="B135" t="s">
        <v>1049</v>
      </c>
      <c r="C135" t="s">
        <v>1022</v>
      </c>
      <c r="D135" t="s">
        <v>44</v>
      </c>
      <c r="E135" t="s">
        <v>810</v>
      </c>
      <c r="F135" t="s">
        <v>1085</v>
      </c>
      <c r="G135" t="s">
        <v>736</v>
      </c>
      <c r="J135" t="s">
        <v>1086</v>
      </c>
      <c r="K135" t="s">
        <v>35</v>
      </c>
      <c r="M135" t="s">
        <v>738</v>
      </c>
    </row>
    <row r="136" spans="1:13" x14ac:dyDescent="0.45">
      <c r="A136" t="s">
        <v>79</v>
      </c>
      <c r="B136" t="s">
        <v>766</v>
      </c>
      <c r="C136" t="s">
        <v>1087</v>
      </c>
      <c r="D136" t="s">
        <v>44</v>
      </c>
      <c r="E136" t="s">
        <v>1057</v>
      </c>
      <c r="F136" t="s">
        <v>1085</v>
      </c>
      <c r="G136" t="s">
        <v>736</v>
      </c>
      <c r="J136" t="s">
        <v>1088</v>
      </c>
      <c r="K136" t="s">
        <v>35</v>
      </c>
      <c r="M136" t="s">
        <v>738</v>
      </c>
    </row>
    <row r="137" spans="1:13" x14ac:dyDescent="0.45">
      <c r="A137" t="s">
        <v>79</v>
      </c>
      <c r="B137" t="s">
        <v>1089</v>
      </c>
      <c r="C137" t="s">
        <v>926</v>
      </c>
      <c r="D137" t="s">
        <v>44</v>
      </c>
      <c r="E137" t="s">
        <v>793</v>
      </c>
      <c r="F137" t="s">
        <v>1085</v>
      </c>
      <c r="G137" t="s">
        <v>736</v>
      </c>
      <c r="J137" t="s">
        <v>1090</v>
      </c>
      <c r="K137" t="s">
        <v>35</v>
      </c>
      <c r="M137" t="s">
        <v>738</v>
      </c>
    </row>
    <row r="138" spans="1:13" x14ac:dyDescent="0.45">
      <c r="A138" t="s">
        <v>79</v>
      </c>
      <c r="B138" t="s">
        <v>1078</v>
      </c>
      <c r="C138" t="s">
        <v>1065</v>
      </c>
      <c r="D138" t="s">
        <v>44</v>
      </c>
      <c r="E138" t="s">
        <v>816</v>
      </c>
      <c r="F138" t="s">
        <v>1091</v>
      </c>
      <c r="G138" t="s">
        <v>736</v>
      </c>
      <c r="J138" t="s">
        <v>1092</v>
      </c>
      <c r="K138" t="s">
        <v>35</v>
      </c>
      <c r="M138" t="s">
        <v>738</v>
      </c>
    </row>
    <row r="139" spans="1:13" x14ac:dyDescent="0.45">
      <c r="A139" t="s">
        <v>79</v>
      </c>
      <c r="B139" t="s">
        <v>766</v>
      </c>
      <c r="C139" t="s">
        <v>1093</v>
      </c>
      <c r="D139" t="s">
        <v>44</v>
      </c>
      <c r="E139" t="s">
        <v>816</v>
      </c>
      <c r="F139" t="s">
        <v>1091</v>
      </c>
      <c r="G139" t="s">
        <v>736</v>
      </c>
      <c r="J139" t="s">
        <v>1094</v>
      </c>
      <c r="K139" t="s">
        <v>35</v>
      </c>
      <c r="M139" t="s">
        <v>738</v>
      </c>
    </row>
    <row r="140" spans="1:13" x14ac:dyDescent="0.45">
      <c r="A140" t="s">
        <v>79</v>
      </c>
      <c r="B140" t="s">
        <v>766</v>
      </c>
      <c r="C140" t="s">
        <v>1095</v>
      </c>
      <c r="D140" t="s">
        <v>44</v>
      </c>
      <c r="E140" t="s">
        <v>816</v>
      </c>
      <c r="F140" t="s">
        <v>1091</v>
      </c>
      <c r="G140" t="s">
        <v>736</v>
      </c>
      <c r="J140" t="s">
        <v>1096</v>
      </c>
      <c r="K140" t="s">
        <v>35</v>
      </c>
      <c r="M140" t="s">
        <v>738</v>
      </c>
    </row>
    <row r="141" spans="1:13" x14ac:dyDescent="0.45">
      <c r="A141" t="s">
        <v>79</v>
      </c>
      <c r="B141" t="s">
        <v>766</v>
      </c>
      <c r="C141" t="s">
        <v>1097</v>
      </c>
      <c r="D141" t="s">
        <v>44</v>
      </c>
      <c r="E141" t="s">
        <v>816</v>
      </c>
      <c r="F141" t="s">
        <v>1091</v>
      </c>
      <c r="G141" t="s">
        <v>736</v>
      </c>
      <c r="J141" t="s">
        <v>1098</v>
      </c>
      <c r="K141" t="s">
        <v>35</v>
      </c>
      <c r="M141" t="s">
        <v>738</v>
      </c>
    </row>
    <row r="142" spans="1:13" x14ac:dyDescent="0.45">
      <c r="A142" t="s">
        <v>79</v>
      </c>
      <c r="B142" t="s">
        <v>766</v>
      </c>
      <c r="C142" t="s">
        <v>1099</v>
      </c>
      <c r="D142" t="s">
        <v>44</v>
      </c>
      <c r="E142" t="s">
        <v>816</v>
      </c>
      <c r="F142" t="s">
        <v>1091</v>
      </c>
      <c r="G142" t="s">
        <v>736</v>
      </c>
      <c r="J142" t="s">
        <v>1100</v>
      </c>
      <c r="K142" t="s">
        <v>35</v>
      </c>
      <c r="M142" t="s">
        <v>738</v>
      </c>
    </row>
    <row r="143" spans="1:13" x14ac:dyDescent="0.45">
      <c r="A143" t="s">
        <v>79</v>
      </c>
      <c r="B143" t="s">
        <v>766</v>
      </c>
      <c r="C143" t="s">
        <v>1101</v>
      </c>
      <c r="D143" t="s">
        <v>44</v>
      </c>
      <c r="E143" t="s">
        <v>816</v>
      </c>
      <c r="F143" t="s">
        <v>1091</v>
      </c>
      <c r="G143" t="s">
        <v>736</v>
      </c>
      <c r="J143" t="s">
        <v>1102</v>
      </c>
      <c r="K143" t="s">
        <v>35</v>
      </c>
      <c r="M143" t="s">
        <v>738</v>
      </c>
    </row>
    <row r="144" spans="1:13" x14ac:dyDescent="0.45">
      <c r="A144" t="s">
        <v>79</v>
      </c>
      <c r="B144" t="s">
        <v>766</v>
      </c>
      <c r="C144" t="s">
        <v>1103</v>
      </c>
      <c r="D144" t="s">
        <v>44</v>
      </c>
      <c r="E144" t="s">
        <v>810</v>
      </c>
      <c r="F144" t="s">
        <v>1091</v>
      </c>
      <c r="G144" t="s">
        <v>736</v>
      </c>
      <c r="J144" t="s">
        <v>1104</v>
      </c>
      <c r="K144" t="s">
        <v>35</v>
      </c>
      <c r="M144" t="s">
        <v>738</v>
      </c>
    </row>
    <row r="145" spans="1:13" x14ac:dyDescent="0.45">
      <c r="A145" t="s">
        <v>79</v>
      </c>
      <c r="B145" t="s">
        <v>766</v>
      </c>
      <c r="C145" t="s">
        <v>1105</v>
      </c>
      <c r="D145" t="s">
        <v>44</v>
      </c>
      <c r="E145" t="s">
        <v>816</v>
      </c>
      <c r="F145" t="s">
        <v>1091</v>
      </c>
      <c r="G145" t="s">
        <v>736</v>
      </c>
      <c r="J145" t="s">
        <v>1106</v>
      </c>
      <c r="K145" t="s">
        <v>35</v>
      </c>
      <c r="M145" t="s">
        <v>738</v>
      </c>
    </row>
    <row r="146" spans="1:13" x14ac:dyDescent="0.45">
      <c r="A146" t="s">
        <v>79</v>
      </c>
      <c r="B146" t="s">
        <v>766</v>
      </c>
      <c r="C146" t="s">
        <v>1107</v>
      </c>
      <c r="D146" t="s">
        <v>44</v>
      </c>
      <c r="E146" t="s">
        <v>793</v>
      </c>
      <c r="F146" t="s">
        <v>1091</v>
      </c>
      <c r="G146" t="s">
        <v>736</v>
      </c>
      <c r="J146" t="s">
        <v>1108</v>
      </c>
      <c r="K146" t="s">
        <v>35</v>
      </c>
      <c r="M146" t="s">
        <v>738</v>
      </c>
    </row>
    <row r="147" spans="1:13" x14ac:dyDescent="0.45">
      <c r="A147" t="s">
        <v>79</v>
      </c>
      <c r="B147" t="s">
        <v>766</v>
      </c>
      <c r="C147" t="s">
        <v>1109</v>
      </c>
      <c r="D147" t="s">
        <v>44</v>
      </c>
      <c r="E147" t="s">
        <v>810</v>
      </c>
      <c r="F147" t="s">
        <v>1091</v>
      </c>
      <c r="G147" t="s">
        <v>736</v>
      </c>
      <c r="J147" t="s">
        <v>1110</v>
      </c>
      <c r="K147" t="s">
        <v>35</v>
      </c>
      <c r="M147" t="s">
        <v>738</v>
      </c>
    </row>
    <row r="148" spans="1:13" x14ac:dyDescent="0.45">
      <c r="A148" t="s">
        <v>79</v>
      </c>
      <c r="B148" t="s">
        <v>766</v>
      </c>
      <c r="C148" t="s">
        <v>1111</v>
      </c>
      <c r="D148" t="s">
        <v>44</v>
      </c>
      <c r="E148" t="s">
        <v>816</v>
      </c>
      <c r="F148" t="s">
        <v>1091</v>
      </c>
      <c r="G148" t="s">
        <v>736</v>
      </c>
      <c r="J148" t="s">
        <v>1112</v>
      </c>
      <c r="K148" t="s">
        <v>35</v>
      </c>
      <c r="M148" t="s">
        <v>738</v>
      </c>
    </row>
    <row r="149" spans="1:13" x14ac:dyDescent="0.45">
      <c r="A149" t="s">
        <v>79</v>
      </c>
      <c r="B149" t="s">
        <v>762</v>
      </c>
      <c r="C149" t="s">
        <v>792</v>
      </c>
      <c r="D149" t="s">
        <v>44</v>
      </c>
      <c r="E149" t="s">
        <v>734</v>
      </c>
      <c r="F149" t="s">
        <v>1091</v>
      </c>
      <c r="G149" t="s">
        <v>736</v>
      </c>
      <c r="J149" t="s">
        <v>1113</v>
      </c>
      <c r="K149" t="s">
        <v>35</v>
      </c>
      <c r="M149" t="s">
        <v>738</v>
      </c>
    </row>
    <row r="150" spans="1:13" x14ac:dyDescent="0.45">
      <c r="A150" t="s">
        <v>79</v>
      </c>
      <c r="B150" t="s">
        <v>1114</v>
      </c>
      <c r="C150" t="s">
        <v>1115</v>
      </c>
      <c r="D150" t="s">
        <v>44</v>
      </c>
      <c r="E150" t="s">
        <v>745</v>
      </c>
      <c r="F150" t="s">
        <v>1091</v>
      </c>
      <c r="G150" t="s">
        <v>736</v>
      </c>
      <c r="J150" t="s">
        <v>1116</v>
      </c>
      <c r="K150" t="s">
        <v>35</v>
      </c>
      <c r="M150" t="s">
        <v>738</v>
      </c>
    </row>
    <row r="151" spans="1:13" x14ac:dyDescent="0.45">
      <c r="A151" t="s">
        <v>79</v>
      </c>
      <c r="B151" t="s">
        <v>1117</v>
      </c>
      <c r="C151" t="s">
        <v>1118</v>
      </c>
      <c r="D151" t="s">
        <v>44</v>
      </c>
      <c r="E151" t="s">
        <v>745</v>
      </c>
      <c r="F151" t="s">
        <v>1119</v>
      </c>
      <c r="G151" t="s">
        <v>736</v>
      </c>
      <c r="J151" t="s">
        <v>1120</v>
      </c>
      <c r="K151" t="s">
        <v>35</v>
      </c>
      <c r="M151" t="s">
        <v>738</v>
      </c>
    </row>
    <row r="152" spans="1:13" x14ac:dyDescent="0.45">
      <c r="A152" t="s">
        <v>79</v>
      </c>
      <c r="B152" t="s">
        <v>766</v>
      </c>
      <c r="C152" t="s">
        <v>1121</v>
      </c>
      <c r="D152" t="s">
        <v>44</v>
      </c>
      <c r="E152" t="s">
        <v>1122</v>
      </c>
      <c r="F152" t="s">
        <v>1123</v>
      </c>
      <c r="G152" t="s">
        <v>736</v>
      </c>
      <c r="J152" t="s">
        <v>1124</v>
      </c>
      <c r="K152" t="s">
        <v>35</v>
      </c>
      <c r="M152" t="s">
        <v>738</v>
      </c>
    </row>
    <row r="153" spans="1:13" x14ac:dyDescent="0.45">
      <c r="A153" t="s">
        <v>79</v>
      </c>
      <c r="B153" t="s">
        <v>1125</v>
      </c>
      <c r="C153" t="s">
        <v>792</v>
      </c>
      <c r="D153" t="s">
        <v>44</v>
      </c>
      <c r="E153" t="s">
        <v>734</v>
      </c>
      <c r="F153" t="s">
        <v>1126</v>
      </c>
      <c r="G153" t="s">
        <v>736</v>
      </c>
      <c r="J153" t="s">
        <v>1127</v>
      </c>
      <c r="K153" t="s">
        <v>35</v>
      </c>
      <c r="M153" t="s">
        <v>738</v>
      </c>
    </row>
    <row r="154" spans="1:13" x14ac:dyDescent="0.45">
      <c r="A154" t="s">
        <v>79</v>
      </c>
      <c r="B154" t="s">
        <v>1128</v>
      </c>
      <c r="C154" t="s">
        <v>1129</v>
      </c>
      <c r="D154" t="s">
        <v>44</v>
      </c>
      <c r="E154" t="s">
        <v>734</v>
      </c>
      <c r="F154" t="s">
        <v>1130</v>
      </c>
      <c r="G154" t="s">
        <v>736</v>
      </c>
      <c r="J154" t="s">
        <v>1131</v>
      </c>
      <c r="K154" t="s">
        <v>35</v>
      </c>
      <c r="M154" t="s">
        <v>738</v>
      </c>
    </row>
    <row r="155" spans="1:13" x14ac:dyDescent="0.45">
      <c r="A155" t="s">
        <v>79</v>
      </c>
      <c r="B155" t="s">
        <v>1132</v>
      </c>
      <c r="C155" t="s">
        <v>1133</v>
      </c>
      <c r="D155" t="s">
        <v>44</v>
      </c>
      <c r="E155" t="s">
        <v>734</v>
      </c>
      <c r="F155" t="s">
        <v>1134</v>
      </c>
      <c r="G155" t="s">
        <v>736</v>
      </c>
      <c r="J155" t="s">
        <v>1135</v>
      </c>
      <c r="K155" t="s">
        <v>35</v>
      </c>
      <c r="M155" t="s">
        <v>738</v>
      </c>
    </row>
    <row r="156" spans="1:13" x14ac:dyDescent="0.45">
      <c r="A156" t="s">
        <v>79</v>
      </c>
      <c r="B156" t="s">
        <v>1136</v>
      </c>
      <c r="C156" t="s">
        <v>1137</v>
      </c>
      <c r="D156" t="s">
        <v>44</v>
      </c>
      <c r="E156" t="s">
        <v>734</v>
      </c>
      <c r="F156" t="s">
        <v>1138</v>
      </c>
      <c r="G156" t="s">
        <v>736</v>
      </c>
      <c r="J156" t="s">
        <v>1139</v>
      </c>
      <c r="K156" t="s">
        <v>35</v>
      </c>
      <c r="M156" t="s">
        <v>738</v>
      </c>
    </row>
    <row r="157" spans="1:13" x14ac:dyDescent="0.45">
      <c r="A157" t="s">
        <v>79</v>
      </c>
      <c r="B157" t="s">
        <v>1140</v>
      </c>
      <c r="C157" t="s">
        <v>1141</v>
      </c>
      <c r="D157" t="s">
        <v>44</v>
      </c>
      <c r="E157" t="s">
        <v>745</v>
      </c>
      <c r="F157" t="s">
        <v>1142</v>
      </c>
      <c r="G157" t="s">
        <v>736</v>
      </c>
      <c r="J157" t="s">
        <v>1143</v>
      </c>
      <c r="K157" t="s">
        <v>35</v>
      </c>
      <c r="M157" t="s">
        <v>738</v>
      </c>
    </row>
    <row r="158" spans="1:13" x14ac:dyDescent="0.45">
      <c r="A158" t="s">
        <v>19</v>
      </c>
      <c r="B158" t="s">
        <v>1144</v>
      </c>
      <c r="C158" t="s">
        <v>1145</v>
      </c>
      <c r="D158" t="s">
        <v>44</v>
      </c>
      <c r="E158" t="s">
        <v>734</v>
      </c>
      <c r="F158" t="s">
        <v>1146</v>
      </c>
      <c r="G158" t="s">
        <v>736</v>
      </c>
      <c r="J158" t="s">
        <v>1147</v>
      </c>
      <c r="K158" t="s">
        <v>35</v>
      </c>
      <c r="M158" t="s">
        <v>738</v>
      </c>
    </row>
    <row r="159" spans="1:13" x14ac:dyDescent="0.45">
      <c r="A159" t="s">
        <v>79</v>
      </c>
      <c r="B159" t="s">
        <v>1078</v>
      </c>
      <c r="C159" t="s">
        <v>1148</v>
      </c>
      <c r="D159" t="s">
        <v>44</v>
      </c>
      <c r="E159" t="s">
        <v>793</v>
      </c>
      <c r="F159" t="s">
        <v>1091</v>
      </c>
      <c r="G159" t="s">
        <v>736</v>
      </c>
      <c r="J159" t="s">
        <v>1149</v>
      </c>
      <c r="K159" t="s">
        <v>35</v>
      </c>
      <c r="M159" t="s">
        <v>1150</v>
      </c>
    </row>
    <row r="160" spans="1:13" x14ac:dyDescent="0.45">
      <c r="A160" t="s">
        <v>79</v>
      </c>
      <c r="B160" t="s">
        <v>1078</v>
      </c>
      <c r="C160" t="s">
        <v>1151</v>
      </c>
      <c r="D160" t="s">
        <v>44</v>
      </c>
      <c r="E160" t="s">
        <v>816</v>
      </c>
      <c r="F160" t="s">
        <v>1091</v>
      </c>
      <c r="G160" t="s">
        <v>736</v>
      </c>
      <c r="J160" t="s">
        <v>1152</v>
      </c>
      <c r="K160" t="s">
        <v>35</v>
      </c>
      <c r="M160" t="s">
        <v>1150</v>
      </c>
    </row>
    <row r="161" spans="1:13" x14ac:dyDescent="0.45">
      <c r="A161" t="s">
        <v>79</v>
      </c>
      <c r="B161" t="s">
        <v>1078</v>
      </c>
      <c r="C161" t="s">
        <v>1153</v>
      </c>
      <c r="D161" t="s">
        <v>44</v>
      </c>
      <c r="E161" t="s">
        <v>793</v>
      </c>
      <c r="F161" t="s">
        <v>1091</v>
      </c>
      <c r="G161" t="s">
        <v>736</v>
      </c>
      <c r="J161" t="s">
        <v>1154</v>
      </c>
      <c r="K161" t="s">
        <v>35</v>
      </c>
      <c r="M161" t="s">
        <v>1150</v>
      </c>
    </row>
    <row r="162" spans="1:13" x14ac:dyDescent="0.45">
      <c r="A162" t="s">
        <v>46</v>
      </c>
      <c r="B162" t="s">
        <v>1078</v>
      </c>
      <c r="C162" t="s">
        <v>1155</v>
      </c>
      <c r="D162" t="s">
        <v>44</v>
      </c>
      <c r="E162" t="s">
        <v>816</v>
      </c>
      <c r="F162" t="s">
        <v>1091</v>
      </c>
      <c r="G162" t="s">
        <v>736</v>
      </c>
      <c r="J162" t="s">
        <v>1156</v>
      </c>
      <c r="K162" t="s">
        <v>35</v>
      </c>
      <c r="M162" t="s">
        <v>1157</v>
      </c>
    </row>
    <row r="163" spans="1:13" x14ac:dyDescent="0.45">
      <c r="A163" t="s">
        <v>79</v>
      </c>
      <c r="B163" t="s">
        <v>1078</v>
      </c>
      <c r="C163" t="s">
        <v>1158</v>
      </c>
      <c r="D163" t="s">
        <v>44</v>
      </c>
      <c r="E163" t="s">
        <v>816</v>
      </c>
      <c r="F163" t="s">
        <v>1091</v>
      </c>
      <c r="G163" t="s">
        <v>736</v>
      </c>
      <c r="J163" t="s">
        <v>1159</v>
      </c>
      <c r="K163" t="s">
        <v>35</v>
      </c>
      <c r="M163" t="s">
        <v>1150</v>
      </c>
    </row>
    <row r="164" spans="1:13" x14ac:dyDescent="0.45">
      <c r="A164" t="s">
        <v>79</v>
      </c>
      <c r="B164" t="s">
        <v>1078</v>
      </c>
      <c r="C164" t="s">
        <v>1160</v>
      </c>
      <c r="D164" t="s">
        <v>44</v>
      </c>
      <c r="E164" t="s">
        <v>816</v>
      </c>
      <c r="F164" t="s">
        <v>1091</v>
      </c>
      <c r="G164" t="s">
        <v>736</v>
      </c>
      <c r="J164" t="s">
        <v>1161</v>
      </c>
      <c r="K164" t="s">
        <v>35</v>
      </c>
      <c r="M164" t="s">
        <v>1150</v>
      </c>
    </row>
    <row r="165" spans="1:13" x14ac:dyDescent="0.45">
      <c r="A165" t="s">
        <v>79</v>
      </c>
      <c r="B165" t="s">
        <v>61</v>
      </c>
      <c r="C165" t="s">
        <v>1162</v>
      </c>
      <c r="D165" t="s">
        <v>44</v>
      </c>
      <c r="E165" t="s">
        <v>734</v>
      </c>
      <c r="F165" t="s">
        <v>1163</v>
      </c>
      <c r="G165" t="s">
        <v>736</v>
      </c>
      <c r="J165" t="s">
        <v>1164</v>
      </c>
      <c r="K165" t="s">
        <v>35</v>
      </c>
      <c r="M165" t="s">
        <v>1150</v>
      </c>
    </row>
    <row r="166" spans="1:13" x14ac:dyDescent="0.45">
      <c r="A166" t="s">
        <v>79</v>
      </c>
      <c r="B166" t="s">
        <v>1165</v>
      </c>
      <c r="C166" t="s">
        <v>1166</v>
      </c>
      <c r="D166" t="s">
        <v>44</v>
      </c>
      <c r="E166" t="s">
        <v>748</v>
      </c>
      <c r="F166" t="s">
        <v>735</v>
      </c>
      <c r="G166" t="s">
        <v>736</v>
      </c>
      <c r="J166" t="s">
        <v>1167</v>
      </c>
      <c r="K166" t="s">
        <v>35</v>
      </c>
      <c r="M166" t="s">
        <v>1150</v>
      </c>
    </row>
    <row r="167" spans="1:13" x14ac:dyDescent="0.45">
      <c r="A167" t="s">
        <v>79</v>
      </c>
      <c r="B167" t="s">
        <v>1168</v>
      </c>
      <c r="C167" t="s">
        <v>1169</v>
      </c>
      <c r="D167" t="s">
        <v>44</v>
      </c>
      <c r="E167" t="s">
        <v>734</v>
      </c>
      <c r="F167" t="s">
        <v>735</v>
      </c>
      <c r="G167" t="s">
        <v>736</v>
      </c>
      <c r="J167" t="s">
        <v>1170</v>
      </c>
      <c r="K167" t="s">
        <v>35</v>
      </c>
      <c r="M167" t="s">
        <v>1150</v>
      </c>
    </row>
    <row r="168" spans="1:13" x14ac:dyDescent="0.45">
      <c r="A168" t="s">
        <v>79</v>
      </c>
      <c r="B168" t="s">
        <v>1171</v>
      </c>
      <c r="C168" t="s">
        <v>1172</v>
      </c>
      <c r="D168" t="s">
        <v>44</v>
      </c>
      <c r="E168" t="s">
        <v>734</v>
      </c>
      <c r="F168" t="s">
        <v>735</v>
      </c>
      <c r="G168" t="s">
        <v>736</v>
      </c>
      <c r="J168" t="s">
        <v>1173</v>
      </c>
      <c r="K168" t="s">
        <v>35</v>
      </c>
      <c r="M168" t="s">
        <v>1150</v>
      </c>
    </row>
    <row r="169" spans="1:13" x14ac:dyDescent="0.45">
      <c r="A169" t="s">
        <v>79</v>
      </c>
      <c r="B169" t="s">
        <v>1165</v>
      </c>
      <c r="C169" t="s">
        <v>1174</v>
      </c>
      <c r="D169" t="s">
        <v>44</v>
      </c>
      <c r="E169" t="s">
        <v>734</v>
      </c>
      <c r="F169" t="s">
        <v>735</v>
      </c>
      <c r="G169" t="s">
        <v>736</v>
      </c>
      <c r="J169" t="s">
        <v>1175</v>
      </c>
      <c r="K169" t="s">
        <v>35</v>
      </c>
      <c r="M169" t="s">
        <v>1150</v>
      </c>
    </row>
    <row r="170" spans="1:13" x14ac:dyDescent="0.45">
      <c r="A170" t="s">
        <v>79</v>
      </c>
      <c r="B170" t="s">
        <v>756</v>
      </c>
      <c r="C170" t="s">
        <v>1176</v>
      </c>
      <c r="D170" t="s">
        <v>44</v>
      </c>
      <c r="E170" t="s">
        <v>734</v>
      </c>
      <c r="F170" t="s">
        <v>735</v>
      </c>
      <c r="G170" t="s">
        <v>736</v>
      </c>
      <c r="J170" t="s">
        <v>1177</v>
      </c>
      <c r="K170" t="s">
        <v>35</v>
      </c>
      <c r="M170" t="s">
        <v>1150</v>
      </c>
    </row>
    <row r="171" spans="1:13" x14ac:dyDescent="0.45">
      <c r="A171" t="s">
        <v>79</v>
      </c>
      <c r="B171" t="s">
        <v>1165</v>
      </c>
      <c r="C171" t="s">
        <v>1178</v>
      </c>
      <c r="D171" t="s">
        <v>44</v>
      </c>
      <c r="E171" t="s">
        <v>748</v>
      </c>
      <c r="F171" t="s">
        <v>764</v>
      </c>
      <c r="G171" t="s">
        <v>736</v>
      </c>
      <c r="J171" t="s">
        <v>1179</v>
      </c>
      <c r="K171" t="s">
        <v>35</v>
      </c>
      <c r="M171" t="s">
        <v>1150</v>
      </c>
    </row>
    <row r="172" spans="1:13" x14ac:dyDescent="0.45">
      <c r="A172" t="s">
        <v>79</v>
      </c>
      <c r="B172" t="s">
        <v>1168</v>
      </c>
      <c r="C172" t="s">
        <v>1180</v>
      </c>
      <c r="D172" t="s">
        <v>44</v>
      </c>
      <c r="E172" t="s">
        <v>734</v>
      </c>
      <c r="F172" t="s">
        <v>764</v>
      </c>
      <c r="G172" t="s">
        <v>736</v>
      </c>
      <c r="J172" t="s">
        <v>1181</v>
      </c>
      <c r="K172" t="s">
        <v>35</v>
      </c>
      <c r="M172" t="s">
        <v>1150</v>
      </c>
    </row>
    <row r="173" spans="1:13" x14ac:dyDescent="0.45">
      <c r="A173" t="s">
        <v>79</v>
      </c>
      <c r="B173" t="s">
        <v>1182</v>
      </c>
      <c r="C173" t="s">
        <v>1183</v>
      </c>
      <c r="D173" t="s">
        <v>44</v>
      </c>
      <c r="E173" t="s">
        <v>734</v>
      </c>
      <c r="F173" t="s">
        <v>764</v>
      </c>
      <c r="G173" t="s">
        <v>736</v>
      </c>
      <c r="J173" t="s">
        <v>1184</v>
      </c>
      <c r="K173" t="s">
        <v>35</v>
      </c>
      <c r="M173" t="s">
        <v>1150</v>
      </c>
    </row>
    <row r="174" spans="1:13" x14ac:dyDescent="0.45">
      <c r="A174" t="s">
        <v>79</v>
      </c>
      <c r="B174" t="s">
        <v>1182</v>
      </c>
      <c r="C174" t="s">
        <v>1185</v>
      </c>
      <c r="D174" t="s">
        <v>44</v>
      </c>
      <c r="E174" t="s">
        <v>734</v>
      </c>
      <c r="F174" t="s">
        <v>764</v>
      </c>
      <c r="G174" t="s">
        <v>736</v>
      </c>
      <c r="J174" t="s">
        <v>1186</v>
      </c>
      <c r="K174" t="s">
        <v>35</v>
      </c>
      <c r="M174" t="s">
        <v>1150</v>
      </c>
    </row>
    <row r="175" spans="1:13" x14ac:dyDescent="0.45">
      <c r="A175" t="s">
        <v>79</v>
      </c>
      <c r="B175" t="s">
        <v>195</v>
      </c>
      <c r="C175" t="s">
        <v>1187</v>
      </c>
      <c r="D175" t="s">
        <v>44</v>
      </c>
      <c r="E175" t="s">
        <v>1188</v>
      </c>
      <c r="F175" t="s">
        <v>1189</v>
      </c>
      <c r="G175" t="s">
        <v>736</v>
      </c>
      <c r="J175" t="s">
        <v>1190</v>
      </c>
      <c r="K175" t="s">
        <v>35</v>
      </c>
      <c r="M175" t="s">
        <v>1150</v>
      </c>
    </row>
    <row r="176" spans="1:13" x14ac:dyDescent="0.45">
      <c r="A176" t="s">
        <v>79</v>
      </c>
      <c r="B176" t="s">
        <v>840</v>
      </c>
      <c r="C176" t="s">
        <v>1191</v>
      </c>
      <c r="D176" t="s">
        <v>44</v>
      </c>
      <c r="E176" t="s">
        <v>748</v>
      </c>
      <c r="F176" t="s">
        <v>1189</v>
      </c>
      <c r="G176" t="s">
        <v>736</v>
      </c>
      <c r="J176" t="s">
        <v>1192</v>
      </c>
      <c r="K176" t="s">
        <v>35</v>
      </c>
      <c r="M176" t="s">
        <v>1150</v>
      </c>
    </row>
    <row r="177" spans="1:13" x14ac:dyDescent="0.45">
      <c r="A177" t="s">
        <v>79</v>
      </c>
      <c r="B177" t="s">
        <v>837</v>
      </c>
      <c r="C177" t="s">
        <v>1193</v>
      </c>
      <c r="D177" t="s">
        <v>44</v>
      </c>
      <c r="E177" t="s">
        <v>734</v>
      </c>
      <c r="F177" t="s">
        <v>802</v>
      </c>
      <c r="G177" t="s">
        <v>736</v>
      </c>
      <c r="J177" t="s">
        <v>1194</v>
      </c>
      <c r="K177" t="s">
        <v>35</v>
      </c>
      <c r="M177" t="s">
        <v>1150</v>
      </c>
    </row>
    <row r="178" spans="1:13" x14ac:dyDescent="0.45">
      <c r="A178" t="s">
        <v>79</v>
      </c>
      <c r="B178" t="s">
        <v>1195</v>
      </c>
      <c r="C178" t="s">
        <v>1196</v>
      </c>
      <c r="D178" t="s">
        <v>44</v>
      </c>
      <c r="E178" t="s">
        <v>748</v>
      </c>
      <c r="F178" t="s">
        <v>811</v>
      </c>
      <c r="G178" t="s">
        <v>736</v>
      </c>
      <c r="J178" t="s">
        <v>1197</v>
      </c>
      <c r="K178" t="s">
        <v>35</v>
      </c>
      <c r="M178" t="s">
        <v>1150</v>
      </c>
    </row>
    <row r="179" spans="1:13" x14ac:dyDescent="0.45">
      <c r="A179" t="s">
        <v>79</v>
      </c>
      <c r="B179" t="s">
        <v>1195</v>
      </c>
      <c r="C179" t="s">
        <v>1198</v>
      </c>
      <c r="D179" t="s">
        <v>44</v>
      </c>
      <c r="E179" t="s">
        <v>1199</v>
      </c>
      <c r="F179" t="s">
        <v>811</v>
      </c>
      <c r="G179" t="s">
        <v>736</v>
      </c>
      <c r="J179" t="s">
        <v>1200</v>
      </c>
      <c r="K179" t="s">
        <v>35</v>
      </c>
      <c r="M179" t="s">
        <v>1150</v>
      </c>
    </row>
    <row r="180" spans="1:13" x14ac:dyDescent="0.45">
      <c r="A180" t="s">
        <v>79</v>
      </c>
      <c r="B180" t="s">
        <v>1195</v>
      </c>
      <c r="C180" t="s">
        <v>1201</v>
      </c>
      <c r="D180" t="s">
        <v>44</v>
      </c>
      <c r="E180" t="s">
        <v>748</v>
      </c>
      <c r="F180" t="s">
        <v>811</v>
      </c>
      <c r="G180" t="s">
        <v>736</v>
      </c>
      <c r="J180" t="s">
        <v>1202</v>
      </c>
      <c r="K180" t="s">
        <v>35</v>
      </c>
      <c r="M180" t="s">
        <v>1150</v>
      </c>
    </row>
    <row r="181" spans="1:13" x14ac:dyDescent="0.45">
      <c r="A181" t="s">
        <v>79</v>
      </c>
      <c r="B181" t="s">
        <v>1195</v>
      </c>
      <c r="C181" t="s">
        <v>1203</v>
      </c>
      <c r="D181" t="s">
        <v>44</v>
      </c>
      <c r="E181" t="s">
        <v>1199</v>
      </c>
      <c r="F181" t="s">
        <v>811</v>
      </c>
      <c r="G181" t="s">
        <v>736</v>
      </c>
      <c r="J181" t="s">
        <v>1204</v>
      </c>
      <c r="K181" t="s">
        <v>35</v>
      </c>
      <c r="M181" t="s">
        <v>1150</v>
      </c>
    </row>
    <row r="182" spans="1:13" x14ac:dyDescent="0.45">
      <c r="A182" t="s">
        <v>79</v>
      </c>
      <c r="B182" t="s">
        <v>1165</v>
      </c>
      <c r="C182" t="s">
        <v>1205</v>
      </c>
      <c r="D182" t="s">
        <v>44</v>
      </c>
      <c r="E182" t="s">
        <v>734</v>
      </c>
      <c r="F182" t="s">
        <v>811</v>
      </c>
      <c r="G182" t="s">
        <v>736</v>
      </c>
      <c r="J182" t="s">
        <v>1206</v>
      </c>
      <c r="K182" t="s">
        <v>35</v>
      </c>
      <c r="M182" t="s">
        <v>1150</v>
      </c>
    </row>
    <row r="183" spans="1:13" x14ac:dyDescent="0.45">
      <c r="A183" t="s">
        <v>79</v>
      </c>
      <c r="B183" t="s">
        <v>1165</v>
      </c>
      <c r="C183" t="s">
        <v>1207</v>
      </c>
      <c r="D183" t="s">
        <v>44</v>
      </c>
      <c r="E183" t="s">
        <v>734</v>
      </c>
      <c r="F183" t="s">
        <v>811</v>
      </c>
      <c r="G183" t="s">
        <v>736</v>
      </c>
      <c r="J183" t="s">
        <v>1208</v>
      </c>
      <c r="K183" t="s">
        <v>35</v>
      </c>
      <c r="M183" t="s">
        <v>1150</v>
      </c>
    </row>
    <row r="184" spans="1:13" x14ac:dyDescent="0.45">
      <c r="A184" t="s">
        <v>79</v>
      </c>
      <c r="B184" t="s">
        <v>1165</v>
      </c>
      <c r="C184" t="s">
        <v>1209</v>
      </c>
      <c r="D184" t="s">
        <v>44</v>
      </c>
      <c r="E184" t="s">
        <v>734</v>
      </c>
      <c r="F184" t="s">
        <v>811</v>
      </c>
      <c r="G184" t="s">
        <v>736</v>
      </c>
      <c r="J184" t="s">
        <v>1210</v>
      </c>
      <c r="K184" t="s">
        <v>35</v>
      </c>
      <c r="M184" t="s">
        <v>1150</v>
      </c>
    </row>
    <row r="185" spans="1:13" x14ac:dyDescent="0.45">
      <c r="A185" t="s">
        <v>79</v>
      </c>
      <c r="B185" t="s">
        <v>61</v>
      </c>
      <c r="C185" t="s">
        <v>1211</v>
      </c>
      <c r="D185" t="s">
        <v>44</v>
      </c>
      <c r="E185" t="s">
        <v>734</v>
      </c>
      <c r="F185" t="s">
        <v>811</v>
      </c>
      <c r="G185" t="s">
        <v>736</v>
      </c>
      <c r="J185" t="s">
        <v>1212</v>
      </c>
      <c r="K185" t="s">
        <v>35</v>
      </c>
      <c r="M185" t="s">
        <v>1150</v>
      </c>
    </row>
    <row r="186" spans="1:13" x14ac:dyDescent="0.45">
      <c r="A186" t="s">
        <v>79</v>
      </c>
      <c r="B186" t="s">
        <v>1165</v>
      </c>
      <c r="C186" t="s">
        <v>1213</v>
      </c>
      <c r="D186" t="s">
        <v>44</v>
      </c>
      <c r="E186" t="s">
        <v>1214</v>
      </c>
      <c r="F186" t="s">
        <v>811</v>
      </c>
      <c r="G186" t="s">
        <v>736</v>
      </c>
      <c r="J186" t="s">
        <v>1215</v>
      </c>
      <c r="K186" t="s">
        <v>35</v>
      </c>
      <c r="M186" t="s">
        <v>1150</v>
      </c>
    </row>
    <row r="187" spans="1:13" x14ac:dyDescent="0.45">
      <c r="A187" t="s">
        <v>79</v>
      </c>
      <c r="B187" t="s">
        <v>1216</v>
      </c>
      <c r="C187" t="s">
        <v>1217</v>
      </c>
      <c r="D187" t="s">
        <v>44</v>
      </c>
      <c r="E187" t="s">
        <v>748</v>
      </c>
      <c r="F187" t="s">
        <v>817</v>
      </c>
      <c r="G187" t="s">
        <v>736</v>
      </c>
      <c r="J187" t="s">
        <v>1218</v>
      </c>
      <c r="K187" t="s">
        <v>35</v>
      </c>
      <c r="M187" t="s">
        <v>1150</v>
      </c>
    </row>
    <row r="188" spans="1:13" x14ac:dyDescent="0.45">
      <c r="A188" t="s">
        <v>79</v>
      </c>
      <c r="B188" t="s">
        <v>195</v>
      </c>
      <c r="C188" t="s">
        <v>1219</v>
      </c>
      <c r="D188" t="s">
        <v>44</v>
      </c>
      <c r="E188" t="s">
        <v>745</v>
      </c>
      <c r="F188" t="s">
        <v>817</v>
      </c>
      <c r="G188" t="s">
        <v>736</v>
      </c>
      <c r="J188" t="s">
        <v>1220</v>
      </c>
      <c r="K188" t="s">
        <v>35</v>
      </c>
      <c r="M188" t="s">
        <v>1150</v>
      </c>
    </row>
    <row r="189" spans="1:13" x14ac:dyDescent="0.45">
      <c r="A189" t="s">
        <v>79</v>
      </c>
      <c r="B189" t="s">
        <v>1221</v>
      </c>
      <c r="C189" t="s">
        <v>1222</v>
      </c>
      <c r="D189" t="s">
        <v>44</v>
      </c>
      <c r="E189" t="s">
        <v>1223</v>
      </c>
      <c r="F189" t="s">
        <v>817</v>
      </c>
      <c r="G189" t="s">
        <v>736</v>
      </c>
      <c r="J189" t="s">
        <v>1224</v>
      </c>
      <c r="K189" t="s">
        <v>35</v>
      </c>
      <c r="M189" t="s">
        <v>1150</v>
      </c>
    </row>
    <row r="190" spans="1:13" x14ac:dyDescent="0.45">
      <c r="A190" t="s">
        <v>79</v>
      </c>
      <c r="B190" t="s">
        <v>1165</v>
      </c>
      <c r="C190" t="s">
        <v>1225</v>
      </c>
      <c r="D190" t="s">
        <v>44</v>
      </c>
      <c r="E190" t="s">
        <v>1226</v>
      </c>
      <c r="F190" t="s">
        <v>829</v>
      </c>
      <c r="G190" t="s">
        <v>736</v>
      </c>
      <c r="J190" t="s">
        <v>1227</v>
      </c>
      <c r="K190" t="s">
        <v>35</v>
      </c>
      <c r="M190" t="s">
        <v>1150</v>
      </c>
    </row>
    <row r="191" spans="1:13" x14ac:dyDescent="0.45">
      <c r="A191" t="s">
        <v>79</v>
      </c>
      <c r="B191" t="s">
        <v>1228</v>
      </c>
      <c r="C191" t="s">
        <v>1015</v>
      </c>
      <c r="D191" t="s">
        <v>44</v>
      </c>
      <c r="E191" t="s">
        <v>1076</v>
      </c>
      <c r="F191" t="s">
        <v>829</v>
      </c>
      <c r="G191" t="s">
        <v>736</v>
      </c>
      <c r="J191" t="s">
        <v>1229</v>
      </c>
      <c r="K191" t="s">
        <v>35</v>
      </c>
      <c r="M191" t="s">
        <v>1150</v>
      </c>
    </row>
    <row r="192" spans="1:13" x14ac:dyDescent="0.45">
      <c r="A192" t="s">
        <v>79</v>
      </c>
      <c r="B192" t="s">
        <v>210</v>
      </c>
      <c r="C192" t="s">
        <v>1230</v>
      </c>
      <c r="D192" t="s">
        <v>44</v>
      </c>
      <c r="E192" t="s">
        <v>745</v>
      </c>
      <c r="F192" t="s">
        <v>850</v>
      </c>
      <c r="G192" t="s">
        <v>736</v>
      </c>
      <c r="J192" t="s">
        <v>1231</v>
      </c>
      <c r="K192" t="s">
        <v>35</v>
      </c>
      <c r="M192" t="s">
        <v>1150</v>
      </c>
    </row>
    <row r="193" spans="1:13" x14ac:dyDescent="0.45">
      <c r="A193" t="s">
        <v>79</v>
      </c>
      <c r="B193" t="s">
        <v>210</v>
      </c>
      <c r="C193" t="s">
        <v>1232</v>
      </c>
      <c r="D193" t="s">
        <v>44</v>
      </c>
      <c r="E193" t="s">
        <v>745</v>
      </c>
      <c r="F193" t="s">
        <v>850</v>
      </c>
      <c r="G193" t="s">
        <v>736</v>
      </c>
      <c r="J193" t="s">
        <v>1233</v>
      </c>
      <c r="K193" t="s">
        <v>35</v>
      </c>
      <c r="M193" t="s">
        <v>1150</v>
      </c>
    </row>
    <row r="194" spans="1:13" x14ac:dyDescent="0.45">
      <c r="A194" t="s">
        <v>79</v>
      </c>
      <c r="B194" t="s">
        <v>210</v>
      </c>
      <c r="C194" t="s">
        <v>1234</v>
      </c>
      <c r="D194" t="s">
        <v>44</v>
      </c>
      <c r="E194" t="s">
        <v>745</v>
      </c>
      <c r="F194" t="s">
        <v>850</v>
      </c>
      <c r="G194" t="s">
        <v>736</v>
      </c>
      <c r="J194" t="s">
        <v>1235</v>
      </c>
      <c r="K194" t="s">
        <v>35</v>
      </c>
      <c r="M194" t="s">
        <v>1150</v>
      </c>
    </row>
    <row r="195" spans="1:13" x14ac:dyDescent="0.45">
      <c r="A195" t="s">
        <v>79</v>
      </c>
      <c r="B195" t="s">
        <v>210</v>
      </c>
      <c r="C195" t="s">
        <v>1236</v>
      </c>
      <c r="D195" t="s">
        <v>44</v>
      </c>
      <c r="E195" t="s">
        <v>745</v>
      </c>
      <c r="F195" t="s">
        <v>850</v>
      </c>
      <c r="G195" t="s">
        <v>736</v>
      </c>
      <c r="J195" t="s">
        <v>1237</v>
      </c>
      <c r="K195" t="s">
        <v>35</v>
      </c>
      <c r="M195" t="s">
        <v>1150</v>
      </c>
    </row>
    <row r="196" spans="1:13" x14ac:dyDescent="0.45">
      <c r="A196" t="s">
        <v>79</v>
      </c>
      <c r="B196" t="s">
        <v>210</v>
      </c>
      <c r="C196" t="s">
        <v>1238</v>
      </c>
      <c r="D196" t="s">
        <v>44</v>
      </c>
      <c r="E196" t="s">
        <v>745</v>
      </c>
      <c r="F196" t="s">
        <v>850</v>
      </c>
      <c r="G196" t="s">
        <v>736</v>
      </c>
      <c r="J196" t="s">
        <v>1239</v>
      </c>
      <c r="K196" t="s">
        <v>35</v>
      </c>
      <c r="M196" t="s">
        <v>1150</v>
      </c>
    </row>
    <row r="197" spans="1:13" x14ac:dyDescent="0.45">
      <c r="A197" t="s">
        <v>79</v>
      </c>
      <c r="B197" t="s">
        <v>210</v>
      </c>
      <c r="C197" t="s">
        <v>1240</v>
      </c>
      <c r="D197" t="s">
        <v>44</v>
      </c>
      <c r="E197" t="s">
        <v>745</v>
      </c>
      <c r="F197" t="s">
        <v>850</v>
      </c>
      <c r="G197" t="s">
        <v>736</v>
      </c>
      <c r="J197" t="s">
        <v>1241</v>
      </c>
      <c r="K197" t="s">
        <v>35</v>
      </c>
      <c r="M197" t="s">
        <v>1150</v>
      </c>
    </row>
    <row r="198" spans="1:13" x14ac:dyDescent="0.45">
      <c r="A198" t="s">
        <v>79</v>
      </c>
      <c r="B198" t="s">
        <v>210</v>
      </c>
      <c r="C198" t="s">
        <v>1242</v>
      </c>
      <c r="D198" t="s">
        <v>44</v>
      </c>
      <c r="E198" t="s">
        <v>745</v>
      </c>
      <c r="F198" t="s">
        <v>850</v>
      </c>
      <c r="G198" t="s">
        <v>736</v>
      </c>
      <c r="J198" t="s">
        <v>1243</v>
      </c>
      <c r="K198" t="s">
        <v>35</v>
      </c>
      <c r="M198" t="s">
        <v>1150</v>
      </c>
    </row>
    <row r="199" spans="1:13" x14ac:dyDescent="0.45">
      <c r="A199" t="s">
        <v>79</v>
      </c>
      <c r="B199" t="s">
        <v>210</v>
      </c>
      <c r="C199" t="s">
        <v>1244</v>
      </c>
      <c r="D199" t="s">
        <v>44</v>
      </c>
      <c r="E199" t="s">
        <v>745</v>
      </c>
      <c r="F199" t="s">
        <v>850</v>
      </c>
      <c r="G199" t="s">
        <v>736</v>
      </c>
      <c r="J199" t="s">
        <v>1245</v>
      </c>
      <c r="K199" t="s">
        <v>35</v>
      </c>
      <c r="M199" t="s">
        <v>1150</v>
      </c>
    </row>
    <row r="200" spans="1:13" x14ac:dyDescent="0.45">
      <c r="A200" t="s">
        <v>79</v>
      </c>
      <c r="B200" t="s">
        <v>1246</v>
      </c>
      <c r="C200" t="s">
        <v>1247</v>
      </c>
      <c r="D200" t="s">
        <v>44</v>
      </c>
      <c r="E200" t="s">
        <v>1002</v>
      </c>
      <c r="F200" t="s">
        <v>859</v>
      </c>
      <c r="G200" t="s">
        <v>736</v>
      </c>
      <c r="J200" t="s">
        <v>1248</v>
      </c>
      <c r="K200" t="s">
        <v>35</v>
      </c>
      <c r="M200" t="s">
        <v>1150</v>
      </c>
    </row>
    <row r="201" spans="1:13" x14ac:dyDescent="0.45">
      <c r="A201" t="s">
        <v>79</v>
      </c>
      <c r="B201" t="s">
        <v>1171</v>
      </c>
      <c r="C201" t="s">
        <v>1249</v>
      </c>
      <c r="D201" t="s">
        <v>44</v>
      </c>
      <c r="E201" t="s">
        <v>734</v>
      </c>
      <c r="F201" t="s">
        <v>912</v>
      </c>
      <c r="G201" t="s">
        <v>736</v>
      </c>
      <c r="J201" t="s">
        <v>1250</v>
      </c>
      <c r="K201" t="s">
        <v>35</v>
      </c>
      <c r="M201" t="s">
        <v>1150</v>
      </c>
    </row>
    <row r="202" spans="1:13" x14ac:dyDescent="0.45">
      <c r="A202" t="s">
        <v>79</v>
      </c>
      <c r="B202" t="s">
        <v>1165</v>
      </c>
      <c r="C202" t="s">
        <v>1251</v>
      </c>
      <c r="D202" t="s">
        <v>44</v>
      </c>
      <c r="E202" t="s">
        <v>1214</v>
      </c>
      <c r="F202" t="s">
        <v>944</v>
      </c>
      <c r="G202" t="s">
        <v>736</v>
      </c>
      <c r="J202" t="s">
        <v>1252</v>
      </c>
      <c r="K202" t="s">
        <v>35</v>
      </c>
      <c r="M202" t="s">
        <v>1150</v>
      </c>
    </row>
    <row r="203" spans="1:13" x14ac:dyDescent="0.45">
      <c r="A203" t="s">
        <v>79</v>
      </c>
      <c r="B203" t="s">
        <v>1253</v>
      </c>
      <c r="C203" t="s">
        <v>1254</v>
      </c>
      <c r="D203" t="s">
        <v>44</v>
      </c>
      <c r="E203" t="s">
        <v>1255</v>
      </c>
      <c r="F203" t="s">
        <v>944</v>
      </c>
      <c r="G203" t="s">
        <v>736</v>
      </c>
      <c r="J203" t="s">
        <v>1256</v>
      </c>
      <c r="K203" t="s">
        <v>35</v>
      </c>
      <c r="M203" t="s">
        <v>1150</v>
      </c>
    </row>
    <row r="204" spans="1:13" x14ac:dyDescent="0.45">
      <c r="A204" t="s">
        <v>79</v>
      </c>
      <c r="B204" t="s">
        <v>1257</v>
      </c>
      <c r="C204" t="s">
        <v>1258</v>
      </c>
      <c r="D204" t="s">
        <v>44</v>
      </c>
      <c r="E204" t="s">
        <v>734</v>
      </c>
      <c r="F204" t="s">
        <v>944</v>
      </c>
      <c r="G204" t="s">
        <v>736</v>
      </c>
      <c r="J204" t="s">
        <v>1259</v>
      </c>
      <c r="K204" t="s">
        <v>35</v>
      </c>
      <c r="M204" t="s">
        <v>1150</v>
      </c>
    </row>
    <row r="205" spans="1:13" x14ac:dyDescent="0.45">
      <c r="A205" t="s">
        <v>79</v>
      </c>
      <c r="B205" t="s">
        <v>637</v>
      </c>
      <c r="C205" t="s">
        <v>1260</v>
      </c>
      <c r="D205" t="s">
        <v>44</v>
      </c>
      <c r="E205" t="s">
        <v>748</v>
      </c>
      <c r="F205" t="s">
        <v>1036</v>
      </c>
      <c r="G205" t="s">
        <v>736</v>
      </c>
      <c r="J205" t="s">
        <v>1261</v>
      </c>
      <c r="K205" t="s">
        <v>35</v>
      </c>
      <c r="M205" t="s">
        <v>1150</v>
      </c>
    </row>
    <row r="206" spans="1:13" x14ac:dyDescent="0.45">
      <c r="A206" t="s">
        <v>79</v>
      </c>
      <c r="B206" t="s">
        <v>1216</v>
      </c>
      <c r="C206" t="s">
        <v>883</v>
      </c>
      <c r="D206" t="s">
        <v>44</v>
      </c>
      <c r="E206" t="s">
        <v>748</v>
      </c>
      <c r="F206" t="s">
        <v>1262</v>
      </c>
      <c r="G206" t="s">
        <v>736</v>
      </c>
      <c r="J206" t="s">
        <v>1263</v>
      </c>
      <c r="K206" t="s">
        <v>35</v>
      </c>
      <c r="M206" t="s">
        <v>1150</v>
      </c>
    </row>
    <row r="207" spans="1:13" x14ac:dyDescent="0.45">
      <c r="A207" t="s">
        <v>79</v>
      </c>
      <c r="B207" t="s">
        <v>1264</v>
      </c>
      <c r="C207" t="s">
        <v>1265</v>
      </c>
      <c r="D207" t="s">
        <v>44</v>
      </c>
      <c r="E207" t="s">
        <v>734</v>
      </c>
      <c r="F207" t="s">
        <v>1045</v>
      </c>
      <c r="G207" t="s">
        <v>736</v>
      </c>
      <c r="J207" t="s">
        <v>1266</v>
      </c>
      <c r="K207" t="s">
        <v>35</v>
      </c>
      <c r="M207" t="s">
        <v>1150</v>
      </c>
    </row>
    <row r="208" spans="1:13" x14ac:dyDescent="0.45">
      <c r="A208" t="s">
        <v>79</v>
      </c>
      <c r="B208" t="s">
        <v>1267</v>
      </c>
      <c r="C208" t="s">
        <v>1268</v>
      </c>
      <c r="D208" t="s">
        <v>44</v>
      </c>
      <c r="E208" t="s">
        <v>1269</v>
      </c>
      <c r="F208" t="s">
        <v>1063</v>
      </c>
      <c r="G208" t="s">
        <v>736</v>
      </c>
      <c r="J208" t="s">
        <v>1270</v>
      </c>
      <c r="K208" t="s">
        <v>35</v>
      </c>
      <c r="M208" t="s">
        <v>1150</v>
      </c>
    </row>
    <row r="209" spans="1:13" x14ac:dyDescent="0.45">
      <c r="A209" t="s">
        <v>79</v>
      </c>
      <c r="B209" t="s">
        <v>1267</v>
      </c>
      <c r="C209" t="s">
        <v>1271</v>
      </c>
      <c r="D209" t="s">
        <v>44</v>
      </c>
      <c r="E209" t="s">
        <v>1269</v>
      </c>
      <c r="F209" t="s">
        <v>1063</v>
      </c>
      <c r="G209" t="s">
        <v>736</v>
      </c>
      <c r="J209" t="s">
        <v>1272</v>
      </c>
      <c r="K209" t="s">
        <v>35</v>
      </c>
      <c r="M209" t="s">
        <v>1150</v>
      </c>
    </row>
    <row r="210" spans="1:13" x14ac:dyDescent="0.45">
      <c r="A210" t="s">
        <v>79</v>
      </c>
      <c r="B210" t="s">
        <v>1221</v>
      </c>
      <c r="C210" t="s">
        <v>1273</v>
      </c>
      <c r="D210" t="s">
        <v>44</v>
      </c>
      <c r="E210" t="s">
        <v>845</v>
      </c>
      <c r="F210" t="s">
        <v>1063</v>
      </c>
      <c r="G210" t="s">
        <v>736</v>
      </c>
      <c r="J210" t="s">
        <v>1274</v>
      </c>
      <c r="K210" t="s">
        <v>35</v>
      </c>
      <c r="M210" t="s">
        <v>1150</v>
      </c>
    </row>
    <row r="211" spans="1:13" x14ac:dyDescent="0.45">
      <c r="A211" t="s">
        <v>79</v>
      </c>
      <c r="B211" t="s">
        <v>1267</v>
      </c>
      <c r="C211" t="s">
        <v>1275</v>
      </c>
      <c r="D211" t="s">
        <v>44</v>
      </c>
      <c r="E211" t="s">
        <v>1269</v>
      </c>
      <c r="F211" t="s">
        <v>1085</v>
      </c>
      <c r="G211" t="s">
        <v>736</v>
      </c>
      <c r="J211" t="s">
        <v>1276</v>
      </c>
      <c r="K211" t="s">
        <v>35</v>
      </c>
      <c r="M211" t="s">
        <v>1150</v>
      </c>
    </row>
    <row r="212" spans="1:13" x14ac:dyDescent="0.45">
      <c r="A212" t="s">
        <v>79</v>
      </c>
      <c r="B212" t="s">
        <v>1277</v>
      </c>
      <c r="C212" t="s">
        <v>1278</v>
      </c>
      <c r="D212" t="s">
        <v>44</v>
      </c>
      <c r="E212" t="s">
        <v>734</v>
      </c>
      <c r="F212" t="s">
        <v>1119</v>
      </c>
      <c r="G212" t="s">
        <v>736</v>
      </c>
      <c r="J212" t="s">
        <v>1279</v>
      </c>
      <c r="K212" t="s">
        <v>35</v>
      </c>
      <c r="M212" t="s">
        <v>1150</v>
      </c>
    </row>
    <row r="213" spans="1:13" x14ac:dyDescent="0.45">
      <c r="A213" t="s">
        <v>79</v>
      </c>
      <c r="B213" t="s">
        <v>144</v>
      </c>
      <c r="C213" t="s">
        <v>1280</v>
      </c>
      <c r="D213" t="s">
        <v>44</v>
      </c>
      <c r="E213" t="s">
        <v>745</v>
      </c>
      <c r="F213" t="s">
        <v>1281</v>
      </c>
      <c r="G213" t="s">
        <v>736</v>
      </c>
      <c r="J213" t="s">
        <v>1282</v>
      </c>
      <c r="K213" t="s">
        <v>35</v>
      </c>
      <c r="M213" t="s">
        <v>1150</v>
      </c>
    </row>
  </sheetData>
  <conditionalFormatting sqref="A1:A1048576">
    <cfRule type="cellIs" dxfId="4" priority="1" operator="equal">
      <formula>"Unavailable"</formula>
    </cfRule>
    <cfRule type="cellIs" dxfId="3" priority="2" operator="equal">
      <formula>"Refused"</formula>
    </cfRule>
    <cfRule type="cellIs" dxfId="2" priority="3" operator="equal">
      <formula>"Applied"</formula>
    </cfRule>
    <cfRule type="cellIs" dxfId="1" priority="4" operator="equal">
      <formula>"Not applied"</formula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168"/>
  <sheetViews>
    <sheetView topLeftCell="A127" zoomScale="68" workbookViewId="0">
      <selection activeCell="D167" sqref="D167"/>
    </sheetView>
  </sheetViews>
  <sheetFormatPr baseColWidth="10" defaultColWidth="9" defaultRowHeight="14.25" x14ac:dyDescent="0.45"/>
  <cols>
    <col min="2" max="2" width="52.59765625" customWidth="1"/>
    <col min="3" max="3" width="18.265625" customWidth="1"/>
    <col min="4" max="4" width="53.53125" customWidth="1"/>
  </cols>
  <sheetData>
    <row r="2" spans="2:5" x14ac:dyDescent="0.45">
      <c r="B2" s="3" t="s">
        <v>1283</v>
      </c>
    </row>
    <row r="4" spans="2:5" x14ac:dyDescent="0.45">
      <c r="B4" t="s">
        <v>1284</v>
      </c>
      <c r="C4" t="s">
        <v>1285</v>
      </c>
      <c r="D4" t="s">
        <v>1286</v>
      </c>
      <c r="E4" t="s">
        <v>1287</v>
      </c>
    </row>
    <row r="5" spans="2:5" x14ac:dyDescent="0.45">
      <c r="B5" t="s">
        <v>1288</v>
      </c>
      <c r="C5" t="s">
        <v>1289</v>
      </c>
      <c r="D5" s="4" t="s">
        <v>1290</v>
      </c>
    </row>
    <row r="6" spans="2:5" x14ac:dyDescent="0.45">
      <c r="B6" t="s">
        <v>245</v>
      </c>
    </row>
    <row r="7" spans="2:5" x14ac:dyDescent="0.45">
      <c r="B7" t="s">
        <v>1291</v>
      </c>
    </row>
    <row r="8" spans="2:5" x14ac:dyDescent="0.45">
      <c r="B8" t="s">
        <v>1292</v>
      </c>
    </row>
    <row r="9" spans="2:5" x14ac:dyDescent="0.45">
      <c r="B9" t="s">
        <v>110</v>
      </c>
      <c r="C9" t="s">
        <v>1293</v>
      </c>
      <c r="D9" s="4" t="s">
        <v>1294</v>
      </c>
    </row>
    <row r="10" spans="2:5" x14ac:dyDescent="0.45">
      <c r="B10" t="s">
        <v>1295</v>
      </c>
      <c r="C10" t="s">
        <v>1296</v>
      </c>
      <c r="D10" s="4" t="s">
        <v>1297</v>
      </c>
    </row>
    <row r="11" spans="2:5" x14ac:dyDescent="0.45">
      <c r="B11" t="s">
        <v>144</v>
      </c>
      <c r="C11" t="s">
        <v>1298</v>
      </c>
      <c r="D11" s="4" t="s">
        <v>1299</v>
      </c>
    </row>
    <row r="12" spans="2:5" x14ac:dyDescent="0.45">
      <c r="B12" t="s">
        <v>92</v>
      </c>
      <c r="C12" t="s">
        <v>1300</v>
      </c>
      <c r="D12" s="4" t="s">
        <v>1301</v>
      </c>
    </row>
    <row r="13" spans="2:5" x14ac:dyDescent="0.45">
      <c r="B13" t="s">
        <v>1302</v>
      </c>
      <c r="C13" t="s">
        <v>1300</v>
      </c>
      <c r="D13" s="4" t="s">
        <v>1303</v>
      </c>
    </row>
    <row r="14" spans="2:5" x14ac:dyDescent="0.45">
      <c r="B14" t="s">
        <v>1304</v>
      </c>
    </row>
    <row r="15" spans="2:5" x14ac:dyDescent="0.45">
      <c r="B15" t="s">
        <v>1305</v>
      </c>
    </row>
    <row r="16" spans="2:5" x14ac:dyDescent="0.45">
      <c r="B16" t="s">
        <v>656</v>
      </c>
    </row>
    <row r="17" spans="2:4" x14ac:dyDescent="0.45">
      <c r="B17" t="s">
        <v>1306</v>
      </c>
      <c r="C17" t="s">
        <v>1289</v>
      </c>
      <c r="D17" s="4" t="s">
        <v>1307</v>
      </c>
    </row>
    <row r="18" spans="2:4" x14ac:dyDescent="0.45">
      <c r="B18" t="s">
        <v>1308</v>
      </c>
      <c r="C18" t="s">
        <v>1309</v>
      </c>
      <c r="D18" s="4" t="s">
        <v>1310</v>
      </c>
    </row>
    <row r="19" spans="2:4" x14ac:dyDescent="0.45">
      <c r="B19" t="s">
        <v>1311</v>
      </c>
      <c r="C19" t="s">
        <v>1300</v>
      </c>
      <c r="D19" s="4" t="s">
        <v>1312</v>
      </c>
    </row>
    <row r="20" spans="2:4" x14ac:dyDescent="0.45">
      <c r="B20" t="s">
        <v>791</v>
      </c>
      <c r="C20" t="s">
        <v>1300</v>
      </c>
      <c r="D20" s="4" t="s">
        <v>1313</v>
      </c>
    </row>
    <row r="21" spans="2:4" x14ac:dyDescent="0.45">
      <c r="B21" t="s">
        <v>1314</v>
      </c>
    </row>
    <row r="22" spans="2:4" x14ac:dyDescent="0.45">
      <c r="B22" t="s">
        <v>1315</v>
      </c>
    </row>
    <row r="23" spans="2:4" x14ac:dyDescent="0.45">
      <c r="B23" t="s">
        <v>1316</v>
      </c>
    </row>
    <row r="24" spans="2:4" x14ac:dyDescent="0.45">
      <c r="B24" t="s">
        <v>179</v>
      </c>
      <c r="C24" t="s">
        <v>1317</v>
      </c>
      <c r="D24" s="4" t="s">
        <v>1318</v>
      </c>
    </row>
    <row r="25" spans="2:4" x14ac:dyDescent="0.45">
      <c r="B25" t="s">
        <v>416</v>
      </c>
    </row>
    <row r="26" spans="2:4" x14ac:dyDescent="0.45">
      <c r="B26" t="s">
        <v>1319</v>
      </c>
      <c r="C26" t="s">
        <v>1320</v>
      </c>
      <c r="D26" s="4" t="s">
        <v>260</v>
      </c>
    </row>
    <row r="27" spans="2:4" x14ac:dyDescent="0.45">
      <c r="B27" t="s">
        <v>1321</v>
      </c>
      <c r="C27" t="s">
        <v>1322</v>
      </c>
      <c r="D27" s="4" t="s">
        <v>1323</v>
      </c>
    </row>
    <row r="28" spans="2:4" x14ac:dyDescent="0.45">
      <c r="B28" t="s">
        <v>133</v>
      </c>
      <c r="C28" t="s">
        <v>1324</v>
      </c>
      <c r="D28" s="4" t="s">
        <v>1325</v>
      </c>
    </row>
    <row r="29" spans="2:4" x14ac:dyDescent="0.45">
      <c r="B29" t="s">
        <v>1326</v>
      </c>
      <c r="C29" t="s">
        <v>1327</v>
      </c>
      <c r="D29" s="4" t="s">
        <v>34</v>
      </c>
    </row>
    <row r="30" spans="2:4" x14ac:dyDescent="0.45">
      <c r="B30" t="s">
        <v>1328</v>
      </c>
      <c r="C30" t="s">
        <v>1329</v>
      </c>
      <c r="D30" s="4" t="s">
        <v>1330</v>
      </c>
    </row>
    <row r="31" spans="2:4" x14ac:dyDescent="0.45">
      <c r="B31" t="s">
        <v>1331</v>
      </c>
      <c r="C31" t="s">
        <v>1332</v>
      </c>
      <c r="D31" s="4" t="s">
        <v>1333</v>
      </c>
    </row>
    <row r="32" spans="2:4" x14ac:dyDescent="0.45">
      <c r="B32" t="s">
        <v>293</v>
      </c>
      <c r="C32" t="s">
        <v>1300</v>
      </c>
      <c r="D32" s="4" t="s">
        <v>296</v>
      </c>
    </row>
    <row r="33" spans="2:4" x14ac:dyDescent="0.45">
      <c r="B33" t="s">
        <v>216</v>
      </c>
      <c r="C33" t="s">
        <v>1334</v>
      </c>
    </row>
    <row r="34" spans="2:4" x14ac:dyDescent="0.45">
      <c r="B34" t="s">
        <v>1335</v>
      </c>
      <c r="C34" t="s">
        <v>1300</v>
      </c>
      <c r="D34" s="4" t="s">
        <v>1336</v>
      </c>
    </row>
    <row r="35" spans="2:4" x14ac:dyDescent="0.45">
      <c r="B35" t="s">
        <v>1337</v>
      </c>
      <c r="C35" t="s">
        <v>1338</v>
      </c>
      <c r="D35" s="4" t="s">
        <v>1339</v>
      </c>
    </row>
    <row r="36" spans="2:4" x14ac:dyDescent="0.45">
      <c r="B36" t="s">
        <v>195</v>
      </c>
      <c r="C36" t="s">
        <v>1340</v>
      </c>
    </row>
    <row r="37" spans="2:4" x14ac:dyDescent="0.45">
      <c r="B37" t="s">
        <v>1341</v>
      </c>
    </row>
    <row r="38" spans="2:4" x14ac:dyDescent="0.45">
      <c r="B38" t="s">
        <v>1342</v>
      </c>
    </row>
    <row r="39" spans="2:4" x14ac:dyDescent="0.45">
      <c r="B39" t="s">
        <v>1343</v>
      </c>
    </row>
    <row r="40" spans="2:4" x14ac:dyDescent="0.45">
      <c r="B40" t="s">
        <v>1344</v>
      </c>
      <c r="C40" t="s">
        <v>1345</v>
      </c>
      <c r="D40" s="4" t="s">
        <v>1346</v>
      </c>
    </row>
    <row r="41" spans="2:4" x14ac:dyDescent="0.45">
      <c r="B41" t="s">
        <v>1347</v>
      </c>
    </row>
    <row r="42" spans="2:4" x14ac:dyDescent="0.45">
      <c r="B42" t="s">
        <v>137</v>
      </c>
      <c r="C42" t="s">
        <v>1348</v>
      </c>
      <c r="D42" s="4" t="s">
        <v>1349</v>
      </c>
    </row>
    <row r="43" spans="2:4" x14ac:dyDescent="0.45">
      <c r="B43" t="s">
        <v>1350</v>
      </c>
      <c r="C43" t="s">
        <v>1300</v>
      </c>
      <c r="D43" s="4" t="s">
        <v>1351</v>
      </c>
    </row>
    <row r="44" spans="2:4" x14ac:dyDescent="0.45">
      <c r="B44" t="s">
        <v>321</v>
      </c>
      <c r="C44" t="s">
        <v>1352</v>
      </c>
      <c r="D44" s="4" t="s">
        <v>1353</v>
      </c>
    </row>
    <row r="45" spans="2:4" x14ac:dyDescent="0.45">
      <c r="B45" t="s">
        <v>1354</v>
      </c>
      <c r="C45" t="s">
        <v>1300</v>
      </c>
      <c r="D45" s="4" t="s">
        <v>1355</v>
      </c>
    </row>
    <row r="46" spans="2:4" x14ac:dyDescent="0.45">
      <c r="B46" t="s">
        <v>1356</v>
      </c>
    </row>
    <row r="47" spans="2:4" x14ac:dyDescent="0.45">
      <c r="B47" t="s">
        <v>264</v>
      </c>
      <c r="C47" t="s">
        <v>1334</v>
      </c>
      <c r="D47" s="4" t="s">
        <v>1357</v>
      </c>
    </row>
    <row r="48" spans="2:4" x14ac:dyDescent="0.45">
      <c r="B48" t="s">
        <v>1358</v>
      </c>
      <c r="C48" t="s">
        <v>1334</v>
      </c>
      <c r="D48" s="4" t="s">
        <v>1359</v>
      </c>
    </row>
    <row r="49" spans="2:4" x14ac:dyDescent="0.45">
      <c r="B49" t="s">
        <v>1360</v>
      </c>
      <c r="C49" t="s">
        <v>1361</v>
      </c>
      <c r="D49" s="4" t="s">
        <v>1362</v>
      </c>
    </row>
    <row r="50" spans="2:4" x14ac:dyDescent="0.45">
      <c r="B50" t="s">
        <v>1363</v>
      </c>
    </row>
    <row r="51" spans="2:4" x14ac:dyDescent="0.45">
      <c r="B51" t="s">
        <v>1364</v>
      </c>
      <c r="C51" t="s">
        <v>1334</v>
      </c>
      <c r="D51" s="4" t="s">
        <v>1365</v>
      </c>
    </row>
    <row r="52" spans="2:4" x14ac:dyDescent="0.45">
      <c r="B52" t="s">
        <v>1366</v>
      </c>
    </row>
    <row r="53" spans="2:4" x14ac:dyDescent="0.45">
      <c r="B53" t="s">
        <v>1367</v>
      </c>
    </row>
    <row r="54" spans="2:4" x14ac:dyDescent="0.45">
      <c r="B54" t="s">
        <v>1368</v>
      </c>
      <c r="C54" t="s">
        <v>1352</v>
      </c>
      <c r="D54" s="4" t="s">
        <v>1369</v>
      </c>
    </row>
    <row r="55" spans="2:4" x14ac:dyDescent="0.45">
      <c r="B55" t="s">
        <v>1370</v>
      </c>
    </row>
    <row r="56" spans="2:4" x14ac:dyDescent="0.45">
      <c r="B56" t="s">
        <v>1371</v>
      </c>
      <c r="C56" t="s">
        <v>1372</v>
      </c>
      <c r="D56" s="4" t="s">
        <v>1373</v>
      </c>
    </row>
    <row r="57" spans="2:4" x14ac:dyDescent="0.45">
      <c r="B57" t="s">
        <v>204</v>
      </c>
      <c r="C57" t="s">
        <v>1374</v>
      </c>
      <c r="D57" s="4" t="s">
        <v>1375</v>
      </c>
    </row>
    <row r="58" spans="2:4" x14ac:dyDescent="0.45">
      <c r="B58" t="s">
        <v>1376</v>
      </c>
      <c r="C58" t="s">
        <v>1377</v>
      </c>
      <c r="D58" s="4" t="s">
        <v>1378</v>
      </c>
    </row>
    <row r="59" spans="2:4" x14ac:dyDescent="0.45">
      <c r="B59" t="s">
        <v>1379</v>
      </c>
    </row>
    <row r="60" spans="2:4" x14ac:dyDescent="0.45">
      <c r="B60" t="s">
        <v>1380</v>
      </c>
    </row>
    <row r="61" spans="2:4" x14ac:dyDescent="0.45">
      <c r="B61" t="s">
        <v>1381</v>
      </c>
      <c r="C61" t="s">
        <v>1352</v>
      </c>
      <c r="D61" s="4" t="s">
        <v>1382</v>
      </c>
    </row>
    <row r="62" spans="2:4" x14ac:dyDescent="0.45">
      <c r="B62" t="s">
        <v>1383</v>
      </c>
      <c r="C62" t="s">
        <v>1384</v>
      </c>
      <c r="D62" s="4" t="s">
        <v>1385</v>
      </c>
    </row>
    <row r="63" spans="2:4" x14ac:dyDescent="0.45">
      <c r="B63" t="s">
        <v>1386</v>
      </c>
    </row>
    <row r="64" spans="2:4" x14ac:dyDescent="0.45">
      <c r="B64" t="s">
        <v>1387</v>
      </c>
      <c r="C64" t="s">
        <v>1300</v>
      </c>
      <c r="D64" s="4" t="s">
        <v>1388</v>
      </c>
    </row>
    <row r="65" spans="2:4" x14ac:dyDescent="0.45">
      <c r="B65" t="s">
        <v>1389</v>
      </c>
      <c r="C65" t="s">
        <v>1300</v>
      </c>
      <c r="D65" s="4" t="s">
        <v>1390</v>
      </c>
    </row>
    <row r="66" spans="2:4" x14ac:dyDescent="0.45">
      <c r="B66" t="s">
        <v>1391</v>
      </c>
      <c r="C66" t="s">
        <v>1300</v>
      </c>
      <c r="D66" s="4" t="s">
        <v>1392</v>
      </c>
    </row>
    <row r="67" spans="2:4" x14ac:dyDescent="0.45">
      <c r="B67" t="s">
        <v>1393</v>
      </c>
      <c r="C67" t="s">
        <v>1329</v>
      </c>
      <c r="D67" s="4" t="s">
        <v>1394</v>
      </c>
    </row>
    <row r="68" spans="2:4" x14ac:dyDescent="0.45">
      <c r="B68" t="s">
        <v>1395</v>
      </c>
      <c r="C68" t="s">
        <v>1352</v>
      </c>
      <c r="D68" s="4" t="s">
        <v>1396</v>
      </c>
    </row>
    <row r="69" spans="2:4" x14ac:dyDescent="0.45">
      <c r="B69" s="19" t="s">
        <v>1397</v>
      </c>
    </row>
    <row r="70" spans="2:4" x14ac:dyDescent="0.45">
      <c r="B70" s="20" t="s">
        <v>1398</v>
      </c>
    </row>
    <row r="71" spans="2:4" x14ac:dyDescent="0.45">
      <c r="B71" s="19" t="s">
        <v>1399</v>
      </c>
    </row>
    <row r="72" spans="2:4" x14ac:dyDescent="0.45">
      <c r="B72" s="20" t="s">
        <v>1400</v>
      </c>
    </row>
    <row r="73" spans="2:4" x14ac:dyDescent="0.45">
      <c r="B73" s="19" t="s">
        <v>1401</v>
      </c>
    </row>
    <row r="74" spans="2:4" x14ac:dyDescent="0.45">
      <c r="B74" s="20"/>
    </row>
    <row r="75" spans="2:4" x14ac:dyDescent="0.45">
      <c r="B75" s="19" t="s">
        <v>1402</v>
      </c>
      <c r="C75" t="s">
        <v>1334</v>
      </c>
      <c r="D75" s="4" t="s">
        <v>628</v>
      </c>
    </row>
    <row r="76" spans="2:4" x14ac:dyDescent="0.45">
      <c r="B76" s="20" t="s">
        <v>629</v>
      </c>
      <c r="C76" t="s">
        <v>1334</v>
      </c>
      <c r="D76" s="4" t="s">
        <v>631</v>
      </c>
    </row>
    <row r="77" spans="2:4" x14ac:dyDescent="0.45">
      <c r="B77" s="19" t="s">
        <v>1403</v>
      </c>
    </row>
    <row r="78" spans="2:4" x14ac:dyDescent="0.45">
      <c r="B78" s="20" t="s">
        <v>1404</v>
      </c>
      <c r="C78" t="s">
        <v>1334</v>
      </c>
      <c r="D78" s="4" t="s">
        <v>1405</v>
      </c>
    </row>
    <row r="79" spans="2:4" x14ac:dyDescent="0.45">
      <c r="B79" s="19" t="s">
        <v>1406</v>
      </c>
      <c r="C79" t="s">
        <v>1334</v>
      </c>
      <c r="D79" s="4" t="s">
        <v>1407</v>
      </c>
    </row>
    <row r="80" spans="2:4" x14ac:dyDescent="0.45">
      <c r="B80" s="20" t="s">
        <v>1408</v>
      </c>
      <c r="C80" t="s">
        <v>1334</v>
      </c>
    </row>
    <row r="81" spans="2:4" x14ac:dyDescent="0.45">
      <c r="B81" s="19" t="s">
        <v>1409</v>
      </c>
    </row>
    <row r="82" spans="2:4" x14ac:dyDescent="0.45">
      <c r="B82" s="20" t="s">
        <v>511</v>
      </c>
    </row>
    <row r="83" spans="2:4" x14ac:dyDescent="0.45">
      <c r="B83" s="19" t="s">
        <v>242</v>
      </c>
      <c r="C83" t="s">
        <v>1334</v>
      </c>
      <c r="D83" s="4" t="s">
        <v>1410</v>
      </c>
    </row>
    <row r="84" spans="2:4" x14ac:dyDescent="0.45">
      <c r="B84" s="20" t="s">
        <v>1411</v>
      </c>
    </row>
    <row r="85" spans="2:4" x14ac:dyDescent="0.45">
      <c r="B85" s="19" t="s">
        <v>1412</v>
      </c>
    </row>
    <row r="86" spans="2:4" x14ac:dyDescent="0.45">
      <c r="B86" s="20" t="s">
        <v>1413</v>
      </c>
    </row>
    <row r="87" spans="2:4" x14ac:dyDescent="0.45">
      <c r="B87" s="19" t="s">
        <v>1414</v>
      </c>
    </row>
    <row r="88" spans="2:4" x14ac:dyDescent="0.45">
      <c r="B88" s="20" t="s">
        <v>595</v>
      </c>
      <c r="C88" t="s">
        <v>1334</v>
      </c>
      <c r="D88" s="4" t="s">
        <v>634</v>
      </c>
    </row>
    <row r="89" spans="2:4" x14ac:dyDescent="0.45">
      <c r="B89" s="19" t="s">
        <v>1415</v>
      </c>
      <c r="C89" t="s">
        <v>1334</v>
      </c>
      <c r="D89" s="4" t="s">
        <v>419</v>
      </c>
    </row>
    <row r="90" spans="2:4" x14ac:dyDescent="0.45">
      <c r="B90" s="20" t="s">
        <v>1416</v>
      </c>
    </row>
    <row r="91" spans="2:4" x14ac:dyDescent="0.45">
      <c r="B91" s="19" t="s">
        <v>213</v>
      </c>
      <c r="C91" t="s">
        <v>1334</v>
      </c>
      <c r="D91" s="4" t="s">
        <v>260</v>
      </c>
    </row>
    <row r="92" spans="2:4" x14ac:dyDescent="0.45">
      <c r="B92" s="20" t="s">
        <v>1417</v>
      </c>
      <c r="C92" t="s">
        <v>1334</v>
      </c>
      <c r="D92" s="4" t="s">
        <v>1418</v>
      </c>
    </row>
    <row r="93" spans="2:4" x14ac:dyDescent="0.45">
      <c r="B93" s="19" t="s">
        <v>1419</v>
      </c>
    </row>
    <row r="94" spans="2:4" x14ac:dyDescent="0.45">
      <c r="B94" s="20" t="s">
        <v>1420</v>
      </c>
      <c r="C94" t="s">
        <v>1334</v>
      </c>
      <c r="D94" s="4" t="s">
        <v>636</v>
      </c>
    </row>
    <row r="95" spans="2:4" x14ac:dyDescent="0.45">
      <c r="B95" s="19" t="s">
        <v>1421</v>
      </c>
      <c r="C95" t="s">
        <v>1334</v>
      </c>
      <c r="D95" s="4" t="s">
        <v>1422</v>
      </c>
    </row>
    <row r="96" spans="2:4" x14ac:dyDescent="0.45">
      <c r="B96" s="20" t="s">
        <v>1423</v>
      </c>
    </row>
    <row r="97" spans="2:4" x14ac:dyDescent="0.45">
      <c r="B97" s="19" t="s">
        <v>1424</v>
      </c>
    </row>
    <row r="98" spans="2:4" x14ac:dyDescent="0.45">
      <c r="B98" s="20" t="s">
        <v>1425</v>
      </c>
    </row>
    <row r="99" spans="2:4" x14ac:dyDescent="0.45">
      <c r="B99" s="19" t="s">
        <v>1426</v>
      </c>
      <c r="C99" t="s">
        <v>1334</v>
      </c>
      <c r="D99" s="4" t="s">
        <v>1427</v>
      </c>
    </row>
    <row r="100" spans="2:4" x14ac:dyDescent="0.45">
      <c r="B100" s="20" t="s">
        <v>637</v>
      </c>
      <c r="C100" t="s">
        <v>1334</v>
      </c>
      <c r="D100" s="4" t="s">
        <v>260</v>
      </c>
    </row>
    <row r="101" spans="2:4" x14ac:dyDescent="0.45">
      <c r="B101" s="19" t="s">
        <v>474</v>
      </c>
    </row>
    <row r="102" spans="2:4" x14ac:dyDescent="0.45">
      <c r="B102" s="20" t="s">
        <v>1428</v>
      </c>
    </row>
    <row r="103" spans="2:4" x14ac:dyDescent="0.45">
      <c r="B103" s="19" t="s">
        <v>1429</v>
      </c>
      <c r="C103" t="s">
        <v>1334</v>
      </c>
      <c r="D103" s="4" t="s">
        <v>1430</v>
      </c>
    </row>
    <row r="104" spans="2:4" x14ac:dyDescent="0.45">
      <c r="B104" s="20" t="s">
        <v>1431</v>
      </c>
      <c r="C104" t="s">
        <v>1334</v>
      </c>
      <c r="D104" s="4" t="s">
        <v>1432</v>
      </c>
    </row>
    <row r="105" spans="2:4" x14ac:dyDescent="0.45">
      <c r="B105" s="19" t="s">
        <v>1433</v>
      </c>
      <c r="C105" t="s">
        <v>1334</v>
      </c>
    </row>
    <row r="106" spans="2:4" x14ac:dyDescent="0.45">
      <c r="B106" s="20" t="s">
        <v>1434</v>
      </c>
    </row>
    <row r="107" spans="2:4" x14ac:dyDescent="0.45">
      <c r="B107" s="19" t="s">
        <v>645</v>
      </c>
      <c r="C107" t="s">
        <v>1334</v>
      </c>
      <c r="D107" s="4" t="s">
        <v>646</v>
      </c>
    </row>
    <row r="108" spans="2:4" x14ac:dyDescent="0.45">
      <c r="B108" s="20" t="s">
        <v>1435</v>
      </c>
    </row>
    <row r="109" spans="2:4" x14ac:dyDescent="0.45">
      <c r="B109" s="19" t="s">
        <v>1436</v>
      </c>
    </row>
    <row r="110" spans="2:4" x14ac:dyDescent="0.45">
      <c r="B110" s="20" t="s">
        <v>1437</v>
      </c>
    </row>
    <row r="111" spans="2:4" x14ac:dyDescent="0.45">
      <c r="B111" s="19" t="s">
        <v>1438</v>
      </c>
    </row>
    <row r="112" spans="2:4" x14ac:dyDescent="0.45">
      <c r="B112" s="20" t="s">
        <v>1439</v>
      </c>
    </row>
    <row r="113" spans="2:4" x14ac:dyDescent="0.45">
      <c r="B113" s="19" t="s">
        <v>1440</v>
      </c>
    </row>
    <row r="114" spans="2:4" x14ac:dyDescent="0.45">
      <c r="B114" s="20" t="s">
        <v>1441</v>
      </c>
    </row>
    <row r="115" spans="2:4" x14ac:dyDescent="0.45">
      <c r="B115" s="19" t="s">
        <v>1442</v>
      </c>
    </row>
    <row r="116" spans="2:4" x14ac:dyDescent="0.45">
      <c r="B116" s="20" t="s">
        <v>1443</v>
      </c>
    </row>
    <row r="117" spans="2:4" x14ac:dyDescent="0.45">
      <c r="B117" s="19" t="s">
        <v>1444</v>
      </c>
      <c r="C117" t="s">
        <v>1334</v>
      </c>
      <c r="D117" s="4" t="s">
        <v>1445</v>
      </c>
    </row>
    <row r="118" spans="2:4" x14ac:dyDescent="0.45">
      <c r="B118" s="19" t="s">
        <v>1446</v>
      </c>
    </row>
    <row r="119" spans="2:4" x14ac:dyDescent="0.45">
      <c r="B119" s="19" t="s">
        <v>1447</v>
      </c>
    </row>
    <row r="120" spans="2:4" x14ac:dyDescent="0.45">
      <c r="B120" s="20" t="s">
        <v>654</v>
      </c>
      <c r="C120" t="s">
        <v>1334</v>
      </c>
      <c r="D120" s="4" t="s">
        <v>655</v>
      </c>
    </row>
    <row r="121" spans="2:4" x14ac:dyDescent="0.45">
      <c r="B121" s="19" t="s">
        <v>1448</v>
      </c>
    </row>
    <row r="122" spans="2:4" x14ac:dyDescent="0.45">
      <c r="B122" s="20" t="s">
        <v>1449</v>
      </c>
    </row>
    <row r="123" spans="2:4" x14ac:dyDescent="0.45">
      <c r="B123" s="19" t="s">
        <v>1450</v>
      </c>
      <c r="C123" t="s">
        <v>1334</v>
      </c>
      <c r="D123" s="4" t="s">
        <v>658</v>
      </c>
    </row>
    <row r="124" spans="2:4" x14ac:dyDescent="0.45">
      <c r="B124" s="20" t="s">
        <v>1451</v>
      </c>
      <c r="C124" t="s">
        <v>1334</v>
      </c>
      <c r="D124" s="4" t="s">
        <v>1452</v>
      </c>
    </row>
    <row r="125" spans="2:4" ht="28.5" customHeight="1" x14ac:dyDescent="0.45">
      <c r="B125" s="19" t="s">
        <v>1453</v>
      </c>
      <c r="C125" t="s">
        <v>1334</v>
      </c>
      <c r="D125" s="4" t="s">
        <v>1454</v>
      </c>
    </row>
    <row r="126" spans="2:4" x14ac:dyDescent="0.45">
      <c r="B126" s="20" t="s">
        <v>660</v>
      </c>
      <c r="C126" t="s">
        <v>1334</v>
      </c>
      <c r="D126" s="4" t="s">
        <v>1455</v>
      </c>
    </row>
    <row r="127" spans="2:4" x14ac:dyDescent="0.45">
      <c r="B127" s="19" t="s">
        <v>1456</v>
      </c>
      <c r="C127" t="s">
        <v>1334</v>
      </c>
      <c r="D127" s="4" t="s">
        <v>1457</v>
      </c>
    </row>
    <row r="128" spans="2:4" x14ac:dyDescent="0.45">
      <c r="B128" s="20" t="s">
        <v>1458</v>
      </c>
      <c r="C128" t="s">
        <v>1334</v>
      </c>
      <c r="D128" s="4" t="s">
        <v>1459</v>
      </c>
    </row>
    <row r="129" spans="2:4" x14ac:dyDescent="0.45">
      <c r="B129" s="19" t="s">
        <v>1460</v>
      </c>
      <c r="C129" t="s">
        <v>1334</v>
      </c>
      <c r="D129" s="4" t="s">
        <v>1461</v>
      </c>
    </row>
    <row r="130" spans="2:4" ht="28.5" customHeight="1" x14ac:dyDescent="0.45">
      <c r="B130" s="20" t="s">
        <v>1462</v>
      </c>
    </row>
    <row r="131" spans="2:4" x14ac:dyDescent="0.45">
      <c r="B131" s="19" t="s">
        <v>1463</v>
      </c>
    </row>
    <row r="132" spans="2:4" x14ac:dyDescent="0.45">
      <c r="B132" s="20" t="s">
        <v>1464</v>
      </c>
      <c r="C132" t="s">
        <v>1334</v>
      </c>
      <c r="D132" s="4" t="s">
        <v>1465</v>
      </c>
    </row>
    <row r="133" spans="2:4" x14ac:dyDescent="0.45">
      <c r="B133" s="19" t="s">
        <v>1466</v>
      </c>
      <c r="C133" t="s">
        <v>1334</v>
      </c>
      <c r="D133" s="4" t="s">
        <v>1467</v>
      </c>
    </row>
    <row r="134" spans="2:4" x14ac:dyDescent="0.45">
      <c r="B134" s="20" t="s">
        <v>1468</v>
      </c>
      <c r="C134" t="s">
        <v>1334</v>
      </c>
      <c r="D134" s="4" t="s">
        <v>1469</v>
      </c>
    </row>
    <row r="135" spans="2:4" x14ac:dyDescent="0.45">
      <c r="B135" s="19" t="s">
        <v>1470</v>
      </c>
    </row>
    <row r="136" spans="2:4" x14ac:dyDescent="0.45">
      <c r="B136" s="20" t="s">
        <v>1471</v>
      </c>
    </row>
    <row r="137" spans="2:4" x14ac:dyDescent="0.45">
      <c r="B137" s="19" t="s">
        <v>1472</v>
      </c>
    </row>
    <row r="138" spans="2:4" x14ac:dyDescent="0.45">
      <c r="B138" s="20" t="s">
        <v>1473</v>
      </c>
    </row>
    <row r="139" spans="2:4" x14ac:dyDescent="0.45">
      <c r="B139" s="19" t="s">
        <v>1474</v>
      </c>
      <c r="C139" t="s">
        <v>1334</v>
      </c>
    </row>
    <row r="140" spans="2:4" x14ac:dyDescent="0.45">
      <c r="B140" s="20" t="s">
        <v>1475</v>
      </c>
    </row>
    <row r="141" spans="2:4" x14ac:dyDescent="0.45">
      <c r="B141" s="19" t="s">
        <v>1476</v>
      </c>
    </row>
    <row r="142" spans="2:4" x14ac:dyDescent="0.45">
      <c r="B142" s="20" t="s">
        <v>1477</v>
      </c>
    </row>
    <row r="143" spans="2:4" x14ac:dyDescent="0.45">
      <c r="B143" s="19" t="s">
        <v>1478</v>
      </c>
    </row>
    <row r="144" spans="2:4" x14ac:dyDescent="0.45">
      <c r="B144" s="20" t="s">
        <v>603</v>
      </c>
    </row>
    <row r="145" spans="2:4" x14ac:dyDescent="0.45">
      <c r="B145" s="19" t="s">
        <v>1479</v>
      </c>
      <c r="C145" t="s">
        <v>1334</v>
      </c>
    </row>
    <row r="146" spans="2:4" x14ac:dyDescent="0.45">
      <c r="B146" s="20" t="s">
        <v>1480</v>
      </c>
    </row>
    <row r="147" spans="2:4" x14ac:dyDescent="0.45">
      <c r="B147" s="19" t="s">
        <v>1481</v>
      </c>
      <c r="C147" t="s">
        <v>1334</v>
      </c>
      <c r="D147" s="4" t="s">
        <v>1482</v>
      </c>
    </row>
    <row r="148" spans="2:4" x14ac:dyDescent="0.45">
      <c r="B148" s="20" t="s">
        <v>1483</v>
      </c>
    </row>
    <row r="149" spans="2:4" x14ac:dyDescent="0.45">
      <c r="B149" s="19" t="s">
        <v>613</v>
      </c>
      <c r="C149" t="s">
        <v>1334</v>
      </c>
      <c r="D149" s="4" t="s">
        <v>1484</v>
      </c>
    </row>
    <row r="150" spans="2:4" x14ac:dyDescent="0.45">
      <c r="B150" s="20" t="s">
        <v>1485</v>
      </c>
    </row>
    <row r="151" spans="2:4" x14ac:dyDescent="0.45">
      <c r="B151" s="19" t="s">
        <v>1486</v>
      </c>
    </row>
    <row r="152" spans="2:4" x14ac:dyDescent="0.45">
      <c r="B152" s="20" t="s">
        <v>1487</v>
      </c>
      <c r="C152" t="s">
        <v>1334</v>
      </c>
      <c r="D152" s="4" t="s">
        <v>1488</v>
      </c>
    </row>
    <row r="153" spans="2:4" x14ac:dyDescent="0.45">
      <c r="B153" s="19" t="s">
        <v>1489</v>
      </c>
    </row>
    <row r="154" spans="2:4" x14ac:dyDescent="0.45">
      <c r="B154" s="20" t="s">
        <v>264</v>
      </c>
      <c r="C154" t="s">
        <v>1334</v>
      </c>
      <c r="D154" t="s">
        <v>112</v>
      </c>
    </row>
    <row r="155" spans="2:4" x14ac:dyDescent="0.45">
      <c r="B155" s="19" t="s">
        <v>1490</v>
      </c>
    </row>
    <row r="156" spans="2:4" x14ac:dyDescent="0.45">
      <c r="B156" s="20" t="s">
        <v>1491</v>
      </c>
      <c r="C156" t="s">
        <v>1334</v>
      </c>
      <c r="D156" t="s">
        <v>112</v>
      </c>
    </row>
    <row r="157" spans="2:4" x14ac:dyDescent="0.45">
      <c r="B157" s="19" t="s">
        <v>1492</v>
      </c>
    </row>
    <row r="158" spans="2:4" x14ac:dyDescent="0.45">
      <c r="B158" s="20" t="s">
        <v>1493</v>
      </c>
      <c r="C158" t="s">
        <v>1334</v>
      </c>
      <c r="D158" s="4" t="s">
        <v>1494</v>
      </c>
    </row>
    <row r="159" spans="2:4" x14ac:dyDescent="0.45">
      <c r="B159" s="19" t="s">
        <v>1495</v>
      </c>
      <c r="C159" t="s">
        <v>1334</v>
      </c>
      <c r="D159" s="4" t="s">
        <v>1496</v>
      </c>
    </row>
    <row r="160" spans="2:4" x14ac:dyDescent="0.45">
      <c r="B160" s="20" t="s">
        <v>1497</v>
      </c>
    </row>
    <row r="161" spans="2:4" x14ac:dyDescent="0.45">
      <c r="B161" s="19" t="s">
        <v>1498</v>
      </c>
      <c r="C161" t="s">
        <v>1334</v>
      </c>
      <c r="D161" t="s">
        <v>112</v>
      </c>
    </row>
    <row r="162" spans="2:4" x14ac:dyDescent="0.45">
      <c r="B162" s="20" t="s">
        <v>1499</v>
      </c>
      <c r="C162" t="s">
        <v>1334</v>
      </c>
      <c r="D162" s="4" t="s">
        <v>1500</v>
      </c>
    </row>
    <row r="163" spans="2:4" x14ac:dyDescent="0.45">
      <c r="B163" s="19" t="s">
        <v>1501</v>
      </c>
      <c r="C163" t="s">
        <v>1334</v>
      </c>
      <c r="D163" s="4" t="s">
        <v>1502</v>
      </c>
    </row>
    <row r="164" spans="2:4" x14ac:dyDescent="0.45">
      <c r="B164" s="20" t="s">
        <v>1503</v>
      </c>
      <c r="C164" t="s">
        <v>1334</v>
      </c>
    </row>
    <row r="165" spans="2:4" x14ac:dyDescent="0.45">
      <c r="B165" s="19" t="s">
        <v>1504</v>
      </c>
    </row>
    <row r="166" spans="2:4" x14ac:dyDescent="0.45">
      <c r="B166" s="20" t="s">
        <v>1505</v>
      </c>
      <c r="C166" t="s">
        <v>1334</v>
      </c>
      <c r="D166" s="4" t="s">
        <v>1506</v>
      </c>
    </row>
    <row r="167" spans="2:4" x14ac:dyDescent="0.45">
      <c r="B167" s="19" t="s">
        <v>1507</v>
      </c>
      <c r="C167" t="s">
        <v>1334</v>
      </c>
      <c r="D167" s="4" t="s">
        <v>1508</v>
      </c>
    </row>
    <row r="168" spans="2:4" x14ac:dyDescent="0.45">
      <c r="B168" s="19" t="s">
        <v>1509</v>
      </c>
    </row>
  </sheetData>
  <hyperlinks>
    <hyperlink ref="D5" r:id="rId1" display="https://www.accenture.com/ca-en/careers" xr:uid="{00000000-0004-0000-0200-000000000000}"/>
    <hyperlink ref="D9" r:id="rId2" display="https://www.amazon.jobs/content/en/career-programs/university/internships-for-students" xr:uid="{00000000-0004-0000-0200-000001000000}"/>
    <hyperlink ref="D10" r:id="rId3" display="https://www.appdirect.com/careers/index.html" xr:uid="{00000000-0004-0000-0200-000002000000}"/>
    <hyperlink ref="D11" r:id="rId4" display="https://www.autodesk.com/careers/overview" xr:uid="{00000000-0004-0000-0200-000003000000}"/>
    <hyperlink ref="D12" r:id="rId5" display="https://beenox.com/en/careers/" xr:uid="{00000000-0004-0000-0200-000004000000}"/>
    <hyperlink ref="D13" r:id="rId6" display="https://www.bhvr.com/montreal/" xr:uid="{00000000-0004-0000-0200-000005000000}"/>
    <hyperlink ref="D17" r:id="rId7" display="https://www.coveo.com/en/company/careers/" xr:uid="{00000000-0004-0000-0200-000006000000}"/>
    <hyperlink ref="D18" r:id="rId8" display="https://enterpriseplatform.dell.com/hcmUI/CandidateExperience/en/sites/careers/pages/internships" xr:uid="{00000000-0004-0000-0200-000007000000}"/>
    <hyperlink ref="D19" r:id="rId9" display="https://www.eidosmontreal.com/careers/" xr:uid="{00000000-0004-0000-0200-000008000000}"/>
    <hyperlink ref="D20" r:id="rId10" display="https://www.ea.com/en-ca/careers/locations" xr:uid="{00000000-0004-0000-0200-000009000000}"/>
    <hyperlink ref="D24" r:id="rId11" display="https://flare.io/company/careers" xr:uid="{00000000-0004-0000-0200-00000A000000}"/>
    <hyperlink ref="D26" r:id="rId12" display="https://giro.wd10.myworkdayjobs.com/en-US/GIRO" xr:uid="{00000000-0004-0000-0200-00000B000000}"/>
    <hyperlink ref="D27" r:id="rId13" display="https://careers.godaddy/jobs/search" xr:uid="{00000000-0004-0000-0200-00000C000000}"/>
    <hyperlink ref="D28" r:id="rId14" display="https://www.google.com/about/careers/applications/" xr:uid="{00000000-0004-0000-0200-00000D000000}"/>
    <hyperlink ref="D29" r:id="rId15" display="https://emplois.carrieres.gouv.qc.ca/plateforme-emploi" xr:uid="{00000000-0004-0000-0200-00000E000000}"/>
    <hyperlink ref="D30" r:id="rId16" display="https://hypertec.com/fr/carrieres" xr:uid="{00000000-0004-0000-0200-00000F000000}"/>
    <hyperlink ref="D31" r:id="rId17" display="https://www.hopper.com/careers/" xr:uid="{00000000-0004-0000-0200-000010000000}"/>
    <hyperlink ref="D32" r:id="rId18" display="https://www.huwiz.com/careers/" xr:uid="{00000000-0004-0000-0200-000011000000}"/>
    <hyperlink ref="D34" r:id="rId19" display="https://www.indieasylum.com/emplois" xr:uid="{00000000-0004-0000-0200-000012000000}"/>
    <hyperlink ref="D35" r:id="rId20" display="https://inlibro.com/en/" xr:uid="{00000000-0004-0000-0200-000013000000}"/>
    <hyperlink ref="D40" r:id="rId21" display="https://www.lightspeedhq.com/careers/" xr:uid="{00000000-0004-0000-0200-000014000000}"/>
    <hyperlink ref="D42" r:id="rId22" display="https://careers.microsoft.com/v2/global/en/home.html" xr:uid="{00000000-0004-0000-0200-000015000000}"/>
    <hyperlink ref="D43" r:id="rId23" display="https://www.minecraft.net/en-us/mojang-careers" xr:uid="{00000000-0004-0000-0200-000016000000}"/>
    <hyperlink ref="D44" r:id="rId24" display="https://www.morganstanley.com/people" xr:uid="{00000000-0004-0000-0200-000017000000}"/>
    <hyperlink ref="D45" r:id="rId25" display="https://www.ea.com/ea-studios/motive/careers" xr:uid="{00000000-0004-0000-0200-000018000000}"/>
    <hyperlink ref="D47" r:id="rId26" display="https://jobs.nokia.com/en/sites/CX_1/jobs?lastSelectedFacet=LOCATIONS&amp;selectedFlexFieldsFacets=%22AttributeChar21%7CStudent+or+Intern+or+Trainee%3BGraduate+or+Entry+Level%22&amp;selectedLocationsFacet=300000000471544" xr:uid="{00000000-0004-0000-0200-000019000000}"/>
    <hyperlink ref="D48" r:id="rId27" display="https://www.nvidia.com/en-eu/about-nvidia/careers/" xr:uid="{00000000-0004-0000-0200-00001A000000}"/>
    <hyperlink ref="D49" r:id="rId28" display="https://www.linkedin.com/company/octasic/" xr:uid="{00000000-0004-0000-0200-00001B000000}"/>
    <hyperlink ref="D51" r:id="rId29" display="https://careers.oracle.com/en/sites/jobsearch/jobs?lastSelectedFacet=locations&amp;selectedLocationsFacet=300000000106749" xr:uid="{00000000-0004-0000-0200-00001C000000}"/>
    <hyperlink ref="D54" r:id="rId30" display="https://www.questrade.com/about-us/careers" xr:uid="{00000000-0004-0000-0200-00001D000000}"/>
    <hyperlink ref="D56" r:id="rId31" display="https://www.rogue-research.com/careers/" xr:uid="{00000000-0004-0000-0200-00001E000000}"/>
    <hyperlink ref="D57" r:id="rId32" display="https://jobs.sap.com/go/Technology-Jobs-in-Montreal/855401/" xr:uid="{00000000-0004-0000-0200-00001F000000}"/>
    <hyperlink ref="D58" r:id="rId33" display="https://www.shopify.com/careers" xr:uid="{00000000-0004-0000-0200-000020000000}"/>
    <hyperlink ref="D61" r:id="rId34" display="https://block.xyz/careers/jobs?" xr:uid="{00000000-0004-0000-0200-000021000000}"/>
    <hyperlink ref="D62" r:id="rId35" display="https://swiftconnect.com/" xr:uid="{00000000-0004-0000-0200-000022000000}"/>
    <hyperlink ref="D64" r:id="rId36" xr:uid="{00000000-0004-0000-0200-000023000000}"/>
    <hyperlink ref="D65" r:id="rId37" display="https://unity.com/careers" xr:uid="{00000000-0004-0000-0200-000024000000}"/>
    <hyperlink ref="D66" r:id="rId38" display="https://voldex.com/careers/" xr:uid="{00000000-0004-0000-0200-000025000000}"/>
    <hyperlink ref="D67" r:id="rId39" display="https://www.vortex-intl.com/careers/" xr:uid="{00000000-0004-0000-0200-000026000000}"/>
    <hyperlink ref="D68" r:id="rId40" display="https://www.wealthsimple.com/en-ca/careers" xr:uid="{00000000-0004-0000-0200-000027000000}"/>
    <hyperlink ref="D75" r:id="rId41" display="https://avantageplus.recruitee.com/o/candidature-spontanee-2-3/c/new" xr:uid="{00000000-0004-0000-0200-000028000000}"/>
    <hyperlink ref="D76" r:id="rId42" location="2" display="https://bba.csod.com/ux/ats/careersite/4/requisition/2194/application?c=bba&amp;state=qc&amp;city=montreal_quebec+city&amp;lang=en-US&amp;axeptio_token=ew1uvTJuiYSa0pR7Sl16GQSxPA&amp;_gl=1*1381bqn*_gcl_au*MTM3MjE4ODQ0Ni4xNzkwODAwMzA0*_ga*MTY3MDA2MjUwNC4xNzkwODAwMzAx*_ga_X4MFQT1G0B*czE3OTA4MDAzMDAkbzEkZzEkdDE3OTA4MDAzMTgkajQ1JGwwJGgw&amp;jobboardid=0 - 2" xr:uid="{00000000-0004-0000-0200-000029000000}"/>
    <hyperlink ref="D78" r:id="rId43" display="https://www.camfil.com/en-ca/about-us/careers/job-opportunities" xr:uid="{00000000-0004-0000-0200-00002A000000}"/>
    <hyperlink ref="D79" r:id="rId44" display="https://www.cattron.com/careers/" xr:uid="{00000000-0004-0000-0200-00002B000000}"/>
    <hyperlink ref="D83" r:id="rId45" display="https://www.drw.com/work-at-drw/listings?filterType=keyword&amp;value=software" xr:uid="{00000000-0004-0000-0200-00002C000000}"/>
    <hyperlink ref="D88" r:id="rId46" display="https://www.famictech.com/en/Company/Careers/Internships" xr:uid="{00000000-0004-0000-0200-00002D000000}"/>
    <hyperlink ref="D89" r:id="rId47" display="https://vizi.vizirecruiter.com/FGF-2840/index.html" xr:uid="{00000000-0004-0000-0200-00002E000000}"/>
    <hyperlink ref="D91" r:id="rId48" display="https://giro.wd10.myworkdayjobs.com/en-US/GIRO?workerSubType=0b4337b20748100907a26e67d0c60000" xr:uid="{00000000-0004-0000-0200-00002F000000}"/>
    <hyperlink ref="D92" r:id="rId49" display="https://careers.hpe.com/us/en/c/engineering-qa-jobs" xr:uid="{00000000-0004-0000-0200-000030000000}"/>
    <hyperlink ref="D94" r:id="rId50" display="https://ipconsul.com/en/about/career/" xr:uid="{00000000-0004-0000-0200-000031000000}"/>
    <hyperlink ref="D95" r:id="rId51" display="https://keyencecanadainc.recruitee.com/" xr:uid="{00000000-0004-0000-0200-000032000000}"/>
    <hyperlink ref="D99" r:id="rId52" location="openings" display="https://lidd.com/about-us/careers/ - openings" xr:uid="{00000000-0004-0000-0200-000033000000}"/>
    <hyperlink ref="D100" r:id="rId53" display="https://lumentum.wd5.myworkdayjobs.com/LITE" xr:uid="{00000000-0004-0000-0200-000034000000}"/>
    <hyperlink ref="D103" r:id="rId54" display="https://video.matrox.com/en/company/careers/" xr:uid="{00000000-0004-0000-0200-000035000000}"/>
    <hyperlink ref="D104" r:id="rId55" display="https://www.opal-rt.com/careers/?_gl=1*6gbuon*_up*MQ..*_ga*MTMxMDMzMTE5NC4xNzkwODAzMTQ1*_ga_406WNJVN3H*czE3OTA4MDMxNDUkbzEkZzAkdDE3OTA4MDMxNDUkajYwJGwwJGgw*_ga_7479WHEKG9*czE3OTA4MDMxNDUkbzEkZzAkdDE3OTA4MDMxNDUkajYwJGwwJGgw" xr:uid="{00000000-0004-0000-0200-000036000000}"/>
    <hyperlink ref="D107" r:id="rId56" display="https://orthogone.com/new-grads-interns/" xr:uid="{00000000-0004-0000-0200-000037000000}"/>
    <hyperlink ref="D117" r:id="rId57" display="https://www.weidmuller.ca/en/company/our_company/careers/index.jsp" xr:uid="{00000000-0004-0000-0200-000038000000}"/>
    <hyperlink ref="D120" r:id="rId58" display="https://altencanada.com/carriere/" xr:uid="{00000000-0004-0000-0200-000039000000}"/>
    <hyperlink ref="D123" r:id="rId59" display="https://brimfinancial.com/careers" xr:uid="{00000000-0004-0000-0200-00003A000000}"/>
    <hyperlink ref="D124" r:id="rId60" display="https://www.linkedin.com/company/canada-rail?originalSubdomain=ca" xr:uid="{00000000-0004-0000-0200-00003B000000}"/>
    <hyperlink ref="D125" r:id="rId61" display="https://www.canada.ca/en/security-intelligence-service/corporate/csis-jobs/available-jobs.html" xr:uid="{00000000-0004-0000-0200-00003C000000}"/>
    <hyperlink ref="D126" r:id="rId62" display="https://www.cgi.com/canada/en-ca/careers" xr:uid="{00000000-0004-0000-0200-00003D000000}"/>
    <hyperlink ref="D127" r:id="rId63" display="https://careers.cisco.com/global/en/home" xr:uid="{00000000-0004-0000-0200-00003E000000}"/>
    <hyperlink ref="D128" r:id="rId64" location="headings-3" display="https://jobs.citi.com/early-career-programs - headings-3" xr:uid="{00000000-0004-0000-0200-00003F000000}"/>
    <hyperlink ref="D129" r:id="rId65" display="https://www.coeur.com/careers/early-career-opportunities/default.aspx" xr:uid="{00000000-0004-0000-0200-000040000000}"/>
    <hyperlink ref="D132" r:id="rId66" display="https://mthree.com/careers/" xr:uid="{00000000-0004-0000-0200-000041000000}"/>
    <hyperlink ref="D133" r:id="rId67" display="https://www.laurentide.com/fr-ca/carrieres/etudiant-e-s-stages-et-debut-de-carriere/" xr:uid="{00000000-0004-0000-0200-000042000000}"/>
    <hyperlink ref="D134" r:id="rId68" display="https://www.linkedin.com/company/cs-group-canada/jobs/" xr:uid="{00000000-0004-0000-0200-000043000000}"/>
    <hyperlink ref="D147" r:id="rId69" display="https://jobs.hatch.com/search/?createNewAlert=false&amp;q=software+intern&amp;locationsearch=Montreal" xr:uid="{00000000-0004-0000-0200-000044000000}"/>
    <hyperlink ref="D149" r:id="rId70" display="https://emploi.hydroquebec.com/go/Tous-les-emplois/2665017/?markerViewed=&amp;carouselIndex=&amp;facetFilters=%7B%22filter6%22%3A%5B%22Emplois+pour+les+%C3%A9tudiants+et+%C3%A9tudiantes%22%5D%7D&amp;pageNumber=0" xr:uid="{00000000-0004-0000-0200-000045000000}"/>
    <hyperlink ref="D152" r:id="rId71" location="more" display="https://jestais.com/careers/ - more" xr:uid="{00000000-0004-0000-0200-000046000000}"/>
    <hyperlink ref="D158" r:id="rId72" display="https://www.revolut.com/en-US/careers/?team=Engineering" xr:uid="{00000000-0004-0000-0200-000047000000}"/>
    <hyperlink ref="D159" r:id="rId73" display="https://jobs.riotinto.com/" xr:uid="{00000000-0004-0000-0200-000048000000}"/>
    <hyperlink ref="D162" r:id="rId74" display="https://careers.sita.aero/jobs?keywords=internship&amp;sortBy=relevance&amp;page=1" xr:uid="{00000000-0004-0000-0200-000049000000}"/>
    <hyperlink ref="D163" r:id="rId75" location="f-title-job=Early%20Careers-Technology%20Internships&amp;cq=%40source%3D%3D%24%22ATS_Jobs_Source%20-%20Prod%22" display="https://careers.slb.com/job-listing - f-title-job=Early%20Careers-Technology%20Internships&amp;cq=%40source%3D%3D%24%22ATS_Jobs_Source%20-%20Prod%22" xr:uid="{00000000-0004-0000-0200-00004A000000}"/>
    <hyperlink ref="D166" r:id="rId76" display="https://sig.com/careers/interns-co-ops/" xr:uid="{00000000-0004-0000-0200-00004B000000}"/>
    <hyperlink ref="D167" r:id="rId77" display="https://ibegin.tcsapps.com/candidate/next/en-CA/jobs/search?page=1&amp;size=10&amp;regular=true&amp;walkin=true&amp;locations=Montreal%2C+PQ&amp;experiences=entry_level&amp;sort=relevance+desc&amp;h=a6705168eedba378972d68d2db38019b8d051b9f57ef29ffb06eb3bd02f4c01adfbb4869ee4241d96acf121312b0237d1be7def977c556fa3d41d36f0f73a605" xr:uid="{00000000-0004-0000-0200-00004C000000}"/>
  </hyperlinks>
  <pageMargins left="0.7" right="0.7" top="0.75" bottom="0.75" header="0.3" footer="0.3"/>
  <tableParts count="1">
    <tablePart r:id="rId7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Job applications 2026-2027</vt:lpstr>
      <vt:lpstr>Automated Jobs 2026-2027</vt:lpstr>
      <vt:lpstr>List of 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 Jenkins</dc:creator>
  <cp:lastModifiedBy>Renji Jenkins</cp:lastModifiedBy>
  <dcterms:created xsi:type="dcterms:W3CDTF">2026-09-08T22:05:46Z</dcterms:created>
  <dcterms:modified xsi:type="dcterms:W3CDTF">2026-10-07T15:17:25Z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0x0101005A81AD6FEB4C244CB911692374A4DE5E</vt:lpwstr>
  </property>
</Properties>
</file>